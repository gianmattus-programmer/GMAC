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ea1a95748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8690dbbac74bd5"/>
    <x:sheet xmlns:r="http://schemas.openxmlformats.org/officeDocument/2006/relationships" name="COMPETICIONES" sheetId="2" r:id="R0e54aa1abfa34001"/>
    <x:sheet xmlns:r="http://schemas.openxmlformats.org/officeDocument/2006/relationships" name="TORNEOS" sheetId="3" r:id="R9c824834e78547d4"/>
    <x:sheet xmlns:r="http://schemas.openxmlformats.org/officeDocument/2006/relationships" name="CODIGOS" sheetId="4" r:id="Ra5f4dd59244247be"/>
    <x:sheet xmlns:r="http://schemas.openxmlformats.org/officeDocument/2006/relationships" name="INSCRIPCIONES" sheetId="5" r:id="R187603b07a0b4f4f"/>
    <x:sheet xmlns:r="http://schemas.openxmlformats.org/officeDocument/2006/relationships" name="PARTIDOS" sheetId="6" r:id="R338671a97f014b04"/>
    <x:sheet xmlns:r="http://schemas.openxmlformats.org/officeDocument/2006/relationships" name="GANADORES" sheetId="7" r:id="R7fc4dfdbc4004251"/>
    <x:sheet xmlns:r="http://schemas.openxmlformats.org/officeDocument/2006/relationships" name="MULTIMEDIA" sheetId="8" r:id="R0bc6f5209a1847f7"/>
    <x:sheet xmlns:r="http://schemas.openxmlformats.org/officeDocument/2006/relationships" name="CONFIG" sheetId="9" r:id="R19b37bde0f8f43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4"/>
      <x:color rgb="FFFFFFFF"/>
      <x:name val="Carlito"/>
    </x:font>
    <x:font>
      <x:b/>
      <x:sz val="9"/>
      <x:color rgb="FFFFFFFF"/>
      <x:name val="Carlito"/>
    </x:font>
    <x:font>
      <x:b/>
      <x:sz val="11"/>
      <x:color rgb="FFFFFFFF"/>
      <x:name val="Carlito"/>
    </x:font>
    <x:font>
      <x:b/>
      <x:sz val="9"/>
      <x:color rgb="FF111214"/>
      <x:name val="Carlito"/>
    </x:font>
    <x:font>
      <x:b/>
      <x:sz val="11"/>
      <x:color rgb="FF111214"/>
      <x:name val="Carlito"/>
    </x:font>
    <x:font>
      <x:b/>
      <x:sz val="18"/>
      <x:color rgb="FF315FD6"/>
      <x:name val="Carlito"/>
    </x:font>
    <x:font>
      <x:b/>
      <x:sz val="14"/>
      <x:color rgb="FF315FD6"/>
      <x:name val="Carlito"/>
    </x:font>
    <x:font>
      <x:b/>
      <x:sz val="10"/>
      <x:color rgb="FF111214"/>
      <x:name val="Carlito"/>
    </x:font>
    <x:font>
      <x:b/>
      <x:sz val="10"/>
      <x:color rgb="FFFFFFFF"/>
      <x:name val="Carlito"/>
    </x:font>
    <x:font>
      <x:sz val="9"/>
      <x:color rgb="FF11121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214"/>
      </x:patternFill>
    </x:fill>
    <x:fill>
      <x:patternFill patternType="solid">
        <x:fgColor rgb="FF315FD6"/>
      </x:patternFill>
    </x:fill>
    <x:fill>
      <x:patternFill patternType="solid">
        <x:fgColor rgb="FF181A1D"/>
      </x:patternFill>
    </x:fill>
    <x:fill>
      <x:patternFill patternType="solid">
        <x:fgColor rgb="FFE8E7E1"/>
      </x:patternFill>
    </x:fill>
    <x:fill>
      <x:patternFill patternType="solid">
        <x:fgColor rgb="FFF4F3EE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 vertical="center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0" fillId="0" borderId="5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10" fillId="6" borderId="4" xfId="0" applyNumberFormat="1" applyFont="1" applyFill="1" applyBorder="1"/>
    <x:xf numFmtId="0" fontId="10" fillId="6" borderId="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9c2b4bbd184ac2" /><Relationship Type="http://schemas.openxmlformats.org/officeDocument/2006/relationships/theme" Target="/xl/theme/theme1.xml" Id="R093c4adb9860464c" /><Relationship Type="http://schemas.openxmlformats.org/officeDocument/2006/relationships/sharedStrings" Target="/xl/sharedStrings.xml" Id="R452f1e522c414360" /><Relationship Type="http://schemas.openxmlformats.org/officeDocument/2006/relationships/worksheet" Target="/xl/worksheets/sheet1.xml" Id="Rdd8690dbbac74bd5" /><Relationship Type="http://schemas.openxmlformats.org/officeDocument/2006/relationships/worksheet" Target="/xl/worksheets/sheet2.xml" Id="R0e54aa1abfa34001" /><Relationship Type="http://schemas.openxmlformats.org/officeDocument/2006/relationships/worksheet" Target="/xl/worksheets/sheet3.xml" Id="R9c824834e78547d4" /><Relationship Type="http://schemas.openxmlformats.org/officeDocument/2006/relationships/worksheet" Target="/xl/worksheets/sheet4.xml" Id="Ra5f4dd59244247be" /><Relationship Type="http://schemas.openxmlformats.org/officeDocument/2006/relationships/worksheet" Target="/xl/worksheets/sheet5.xml" Id="R187603b07a0b4f4f" /><Relationship Type="http://schemas.openxmlformats.org/officeDocument/2006/relationships/worksheet" Target="/xl/worksheets/sheet6.xml" Id="R338671a97f014b04" /><Relationship Type="http://schemas.openxmlformats.org/officeDocument/2006/relationships/worksheet" Target="/xl/worksheets/sheet7.xml" Id="R7fc4dfdbc4004251" /><Relationship Type="http://schemas.openxmlformats.org/officeDocument/2006/relationships/worksheet" Target="/xl/worksheets/sheet8.xml" Id="R0bc6f5209a1847f7" /><Relationship Type="http://schemas.openxmlformats.org/officeDocument/2006/relationships/worksheet" Target="/xl/worksheets/sheet9.xml" Id="R19b37bde0f8f43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3" hidden="0" customWidth="1"/>
    <x:col min="3" max="3" width="38" hidden="0" customWidth="1"/>
    <x:col min="4" max="4" width="5" hidden="0" customWidth="1"/>
    <x:col min="5" max="5" width="5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GMAC CONTROL CENTER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9" t="str">
        <x:v>GOOGLE SHEETS · DRIVE AVIF · UN TORNEO VIGENTE A LA VEZ</x:v>
      </x:c>
      <x:c r="B3" s="9"/>
      <x:c r="C3" s="9"/>
      <x:c r="D3" s="9"/>
      <x:c r="E3" s="9"/>
      <x:c r="F3" s="9"/>
      <x:c r="G3" s="9"/>
      <x:c r="H3" s="9"/>
    </x:row>
    <x:row r="5">
      <x:c r="A5" s="13" t="str">
        <x:v>TORNEO ACTUAL</x:v>
      </x:c>
      <x:c r="B5" s="13"/>
      <x:c r="C5" s="13"/>
      <x:c r="D5" s="13"/>
      <x:c r="F5" s="26" t="str">
        <x:v>BIBLIOTECA DE COPAS</x:v>
      </x:c>
      <x:c r="G5" s="26"/>
      <x:c r="H5" s="26"/>
    </x:row>
    <x:row r="6">
      <x:c r="A6" s="17" t="str">
        <x:v>Competición</x:v>
      </x:c>
      <x:c r="B6" s="22" t="str">
        <x:f>IFERROR(INDEX(TORNEOS!E:E,MATCH("VIGENTE",TORNEOS!T:T,0)),"SIN TORNEO VIGENTE")</x:f>
        <x:v>SIN TORNEO VIGENTE</x:v>
      </x:c>
      <x:c r="C6" s="22"/>
      <x:c r="D6" s="22"/>
      <x:c r="F6" s="30" t="str">
        <x:v>40 COPAS ÚNICAS</x:v>
      </x:c>
      <x:c r="G6" s="30"/>
      <x:c r="H6" s="30"/>
    </x:row>
    <x:row r="7">
      <x:c r="A7" s="17" t="str">
        <x:v>Edición</x:v>
      </x:c>
      <x:c r="B7" s="22" t="str">
        <x:f>IFERROR(INDEX(TORNEOS!C:C,MATCH("VIGENTE",TORNEOS!T:T,0)),"—")</x:f>
        <x:v>—</x:v>
      </x:c>
      <x:c r="C7" s="22"/>
      <x:c r="D7" s="22"/>
      <x:c r="F7" s="30"/>
      <x:c r="G7" s="30"/>
      <x:c r="H7" s="30"/>
    </x:row>
    <x:row r="8">
      <x:c r="A8" s="17" t="str">
        <x:v>Juego</x:v>
      </x:c>
      <x:c r="B8" s="22" t="str">
        <x:f>IFERROR(INDEX(TORNEOS!D:D,MATCH("VIGENTE",TORNEOS!T:T,0)),"—")</x:f>
        <x:v>—</x:v>
      </x:c>
      <x:c r="C8" s="22"/>
      <x:c r="D8" s="22"/>
      <x:c r="F8" s="26" t="str">
        <x:v>FORMATO</x:v>
      </x:c>
      <x:c r="G8" s="26"/>
      <x:c r="H8" s="26"/>
    </x:row>
    <x:row r="9">
      <x:c r="A9" s="17" t="str">
        <x:v>Estado</x:v>
      </x:c>
      <x:c r="B9" s="22" t="str">
        <x:f>IFERROR(INDEX(TORNEOS!T:T,MATCH("VIGENTE",TORNEOS!T:T,0)),"SIN ACTIVO")</x:f>
        <x:v>SIN ACTIVO</x:v>
      </x:c>
      <x:c r="C9" s="22"/>
      <x:c r="D9" s="22"/>
      <x:c r="F9" s="36" t="str">
        <x:v>AVIF · ~88% MENOS PESO</x:v>
      </x:c>
      <x:c r="G9" s="36"/>
      <x:c r="H9" s="36"/>
    </x:row>
    <x:row r="10">
      <x:c r="A10" s="17" t="str">
        <x:v>Inscritos</x:v>
      </x:c>
      <x:c r="B10" s="22" t="n">
        <x:f>IFERROR(COUNTIF(INSCRIPCIONES!B:B,INDEX(TORNEOS!A:A,MATCH("VIGENTE",TORNEOS!T:T,0))),0)</x:f>
        <x:v>0</x:v>
      </x:c>
      <x:c r="C10" s="22"/>
      <x:c r="D10" s="22"/>
      <x:c r="F10" s="36"/>
      <x:c r="G10" s="36"/>
      <x:c r="H10" s="36"/>
    </x:row>
    <x:row r="11">
      <x:c r="A11" s="17" t="str">
        <x:v>Cupos</x:v>
      </x:c>
      <x:c r="B11" s="22" t="n">
        <x:f>IFERROR(INDEX(TORNEOS!G:G,MATCH("VIGENTE",TORNEOS!T:T,0)),0)</x:f>
        <x:v>0</x:v>
      </x:c>
      <x:c r="C11" s="22"/>
      <x:c r="D11" s="22"/>
      <x:c r="F11" s="26" t="str">
        <x:v>SINCRONIZACIÓN</x:v>
      </x:c>
      <x:c r="G11" s="26"/>
      <x:c r="H11" s="26"/>
    </x:row>
    <x:row r="12">
      <x:c r="A12" s="17" t="str">
        <x:v>Partidos finalizados</x:v>
      </x:c>
      <x:c r="B12" s="22" t="n">
        <x:f>IFERROR(COUNTIFS(PARTIDOS!A:A,INDEX(TORNEOS!A:A,MATCH("VIGENTE",TORNEOS!T:T,0)),PARTIDOS!N:N,"FINALIZADO"),0)</x:f>
        <x:v>0</x:v>
      </x:c>
      <x:c r="C12" s="22"/>
      <x:c r="D12" s="22"/>
      <x:c r="F12" s="43" t="str">
        <x:v>MENÚ GMAC → SINCRONIZAR COPAS</x:v>
      </x:c>
      <x:c r="G12" s="43"/>
      <x:c r="H12" s="43"/>
    </x:row>
    <x:row r="13">
      <x:c r="A13" s="17" t="str">
        <x:v>Premios</x:v>
      </x:c>
      <x:c r="B13" s="22" t="str">
        <x:f>IFERROR(INDEX(TORNEOS!Q:Q,MATCH("VIGENTE",TORNEOS!T:T,0))&amp;" / "&amp;INDEX(TORNEOS!R:R,MATCH("VIGENTE",TORNEOS!T:T,0)),"—")</x:f>
        <x:v>—</x:v>
      </x:c>
      <x:c r="C13" s="22"/>
      <x:c r="D13" s="22"/>
      <x:c r="F13" s="43"/>
      <x:c r="G13" s="43"/>
      <x:c r="H13" s="43"/>
    </x:row>
    <x:row r="16">
      <x:c r="A16" s="13" t="str">
        <x:v>FLUJO DE PRODUCCIÓN</x:v>
      </x:c>
      <x:c r="B16" s="13"/>
      <x:c r="C16" s="13"/>
      <x:c r="D16" s="13"/>
      <x:c r="E16" s="13"/>
      <x:c r="F16" s="13"/>
      <x:c r="G16" s="13"/>
      <x:c r="H16" s="13"/>
    </x:row>
    <x:row r="18">
      <x:c r="A18" s="49" t="str">
        <x:v>1</x:v>
      </x:c>
      <x:c r="B18" s="53" t="str">
        <x:v>Sincronizar biblioteca</x:v>
      </x:c>
      <x:c r="C18" s="53" t="str">
        <x:v>Completa File ID + URL de todas las copas existentes</x:v>
      </x:c>
    </x:row>
    <x:row r="19">
      <x:c r="A19" s="49" t="str">
        <x:v>2</x:v>
      </x:c>
      <x:c r="B19" s="53" t="str">
        <x:v>Nueva competición</x:v>
      </x:c>
      <x:c r="C19" s="53" t="str">
        <x:v>Pega el enlace/ID de un AVIF de Drive</x:v>
      </x:c>
    </x:row>
    <x:row r="20">
      <x:c r="A20" s="49" t="str">
        <x:v>3</x:v>
      </x:c>
      <x:c r="B20" s="53" t="str">
        <x:v>Nuevo torneo</x:v>
      </x:c>
      <x:c r="C20" s="53" t="str">
        <x:v>Crea edición + códigos únicos</x:v>
      </x:c>
    </x:row>
    <x:row r="21">
      <x:c r="A21" s="49" t="str">
        <x:v>4</x:v>
      </x:c>
      <x:c r="B21" s="53" t="str">
        <x:v>Activar torneo</x:v>
      </x:c>
      <x:c r="C21" s="53" t="str">
        <x:v>Abre inscripciones y lo vuelve VIGENTE</x:v>
      </x:c>
    </x:row>
    <x:row r="22">
      <x:c r="A22" s="49" t="str">
        <x:v>5</x:v>
      </x:c>
      <x:c r="B22" s="53" t="str">
        <x:v>Resultados</x:v>
      </x:c>
      <x:c r="C22" s="53" t="str">
        <x:v>PARTIDOS avanza el fixture automáticamente</x:v>
      </x:c>
    </x:row>
    <x:row r="23">
      <x:c r="A23" s="49" t="str">
        <x:v>6</x:v>
      </x:c>
      <x:c r="B23" s="53" t="str">
        <x:v>Final</x:v>
      </x:c>
      <x:c r="C23" s="53" t="str">
        <x:v>Campeón + segundo + premios + historial</x:v>
      </x:c>
    </x:row>
  </x:sheetData>
  <x:mergeCells>
    <x:mergeCell ref="A1:H2"/>
    <x:mergeCell ref="A3:H3"/>
    <x:mergeCell ref="A5:D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F5:H5"/>
    <x:mergeCell ref="F6:H7"/>
    <x:mergeCell ref="F8:H8"/>
    <x:mergeCell ref="F9:H10"/>
    <x:mergeCell ref="F11:H11"/>
    <x:mergeCell ref="F12:H13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3" hidden="0" customWidth="1"/>
    <x:col min="3" max="3" width="30" hidden="0" customWidth="1"/>
    <x:col min="4" max="4" width="20" hidden="0" customWidth="1"/>
    <x:col min="5" max="5" width="34" hidden="0" customWidth="1"/>
    <x:col min="6" max="6" width="34" hidden="0" customWidth="1"/>
    <x:col min="7" max="7" width="12" hidden="0" customWidth="1"/>
    <x:col min="8" max="8" width="14" hidden="0" customWidth="1"/>
    <x:col min="9" max="9" width="18" hidden="0" customWidth="1"/>
    <x:col min="10" max="10" width="40" hidden="0" customWidth="1"/>
    <x:col min="11" max="11" width="11" hidden="0" customWidth="1"/>
    <x:col min="12" max="12" width="13" hidden="0" customWidth="1"/>
    <x:col min="13" max="13" width="10" hidden="0" customWidth="1"/>
    <x:col min="14" max="14" width="13" hidden="0" customWidth="1"/>
    <x:col min="15" max="15" width="44" hidden="0" customWidth="1"/>
    <x:col min="16" max="16" width="8" hidden="0" customWidth="1"/>
    <x:col min="17" max="17" width="8" hidden="0" customWidth="1"/>
    <x:col min="18" max="18" width="34" hidden="0" customWidth="1"/>
    <x:col min="19" max="19" width="34" hidden="0" customWidth="1"/>
    <x:col min="20" max="20" width="26" hidden="0" customWidth="1"/>
    <x:col min="21" max="21" width="26" hidden="0" customWidth="1"/>
    <x:col min="22" max="22" width="45" hidden="0" customWidth="1"/>
    <x:col min="23" max="23" width="45" hidden="0" customWidth="1"/>
    <x:col min="24" max="24" width="16" hidden="0" customWidth="1"/>
  </x:cols>
  <x:sheetData>
    <x:row r="1">
      <x:c r="A1" s="59" t="str">
        <x:v>competition_id</x:v>
      </x:c>
      <x:c r="B1" s="59" t="str">
        <x:v>juego</x:v>
      </x:c>
      <x:c r="C1" s="59" t="str">
        <x:v>nombre</x:v>
      </x:c>
      <x:c r="D1" s="59" t="str">
        <x:v>categoria</x:v>
      </x:c>
      <x:c r="E1" s="59" t="str">
        <x:v>copa_portada</x:v>
      </x:c>
      <x:c r="F1" s="59" t="str">
        <x:v>copa_fixture</x:v>
      </x:c>
      <x:c r="G1" s="59" t="str">
        <x:v>participantes_defecto</x:v>
      </x:c>
      <x:c r="H1" s="59" t="str">
        <x:v>tipo_defecto</x:v>
      </x:c>
      <x:c r="I1" s="59" t="str">
        <x:v>estructura_defecto</x:v>
      </x:c>
      <x:c r="J1" s="59" t="str">
        <x:v>formato_defecto</x:v>
      </x:c>
      <x:c r="K1" s="59" t="str">
        <x:v>tamano_grupo</x:v>
      </x:c>
      <x:c r="L1" s="59" t="str">
        <x:v>clasifican_grupo</x:v>
      </x:c>
      <x:c r="M1" s="59" t="str">
        <x:v>vueltas_grupo</x:v>
      </x:c>
      <x:c r="N1" s="59" t="str">
        <x:v>regla_partidos</x:v>
      </x:c>
      <x:c r="O1" s="59" t="str">
        <x:v>descripcion</x:v>
      </x:c>
      <x:c r="P1" s="59" t="str">
        <x:v>orden</x:v>
      </x:c>
      <x:c r="Q1" s="59" t="str">
        <x:v>activo</x:v>
      </x:c>
      <x:c r="R1" s="59" t="str">
        <x:v>copa_portada_avif</x:v>
      </x:c>
      <x:c r="S1" s="59" t="str">
        <x:v>copa_fixture_avif</x:v>
      </x:c>
      <x:c r="T1" s="59" t="str">
        <x:v>copa_portada_file_id</x:v>
      </x:c>
      <x:c r="U1" s="59" t="str">
        <x:v>copa_fixture_file_id</x:v>
      </x:c>
      <x:c r="V1" s="59" t="str">
        <x:v>copa_portada_url</x:v>
      </x:c>
      <x:c r="W1" s="59" t="str">
        <x:v>copa_fixture_url</x:v>
      </x:c>
      <x:c r="X1" s="59" t="str">
        <x:v>copa_biblioteca</x:v>
      </x:c>
    </x:row>
    <x:row r="2">
      <x:c r="A2" s="68" t="str">
        <x:v>ef-comp-01</x:v>
      </x:c>
      <x:c r="B2" s="68" t="str">
        <x:v>efootball</x:v>
      </x:c>
      <x:c r="C2" s="68" t="str">
        <x:v>GMAC Championship</x:v>
      </x:c>
      <x:c r="D2" s="68" t="str">
        <x:v>Máxima categoría</x:v>
      </x:c>
      <x:c r="E2" s="68" t="str">
        <x:v>assets/cups/efootball/portadas/oficial-1.png</x:v>
      </x:c>
      <x:c r="F2" s="68" t="str">
        <x:v>assets/cups/efootball/fixture/oficial-1-minimalista.png</x:v>
      </x:c>
      <x:c r="G2" s="68" t="str">
        <x:v>64</x:v>
      </x:c>
      <x:c r="H2" s="68" t="str">
        <x:v>64</x:v>
      </x:c>
      <x:c r="I2" s="68" t="str">
        <x:v>groups</x:v>
      </x:c>
      <x:c r="J2" s="68" t="str">
        <x:v>16 grupos de 4 → Ronda de 32 → Final</x:v>
      </x:c>
      <x:c r="K2" s="68" t="str">
        <x:v>4</x:v>
      </x:c>
      <x:c r="L2" s="68" t="str">
        <x:v>2</x:v>
      </x:c>
      <x:c r="M2" s="68" t="str">
        <x:v>1</x:v>
      </x:c>
      <x:c r="N2" s="68" t="str">
        <x:v>SOLO_IDA</x:v>
      </x:c>
      <x:c r="O2" s="68" t="str">
        <x:v>La máxima competición de eFootball de GMAC: 64 participantes, 16 grupos de cuatro y una fase eliminatoria de 32 clasificados.</x:v>
      </x:c>
      <x:c r="P2" s="68" t="str">
        <x:v>1</x:v>
      </x:c>
      <x:c r="Q2" s="68" t="str">
        <x:v>SI</x:v>
      </x:c>
      <x:c r="R2" s="68" t="str">
        <x:v>EFOOTBALL/PORTADAS/oficial-1.avif</x:v>
      </x:c>
      <x:c r="S2" s="68" t="str">
        <x:v>EFOOTBALL/FIXTURE/oficial-1-minimalista.avif</x:v>
      </x:c>
      <x:c r="T2" s="68" t="str"/>
      <x:c r="U2" s="68" t="str"/>
      <x:c r="V2" s="68" t="str"/>
      <x:c r="W2" s="68" t="str"/>
      <x:c r="X2" s="68" t="str">
        <x:v>EFOOTBALL</x:v>
      </x:c>
    </x:row>
    <x:row r="3">
      <x:c r="A3" s="68" t="str">
        <x:v>ef-comp-02</x:v>
      </x:c>
      <x:c r="B3" s="68" t="str">
        <x:v>efootball</x:v>
      </x:c>
      <x:c r="C3" s="68" t="str">
        <x:v>GMAC Major</x:v>
      </x:c>
      <x:c r="D3" s="68" t="str">
        <x:v>Major</x:v>
      </x:c>
      <x:c r="E3" s="68" t="str">
        <x:v>assets/cups/efootball/portadas/oficial-2.png</x:v>
      </x:c>
      <x:c r="F3" s="68" t="str">
        <x:v>assets/cups/efootball/fixture/oficial-2-minimalista.png</x:v>
      </x:c>
      <x:c r="G3" s="68" t="str">
        <x:v>32</x:v>
      </x:c>
      <x:c r="H3" s="68" t="str">
        <x:v>32</x:v>
      </x:c>
      <x:c r="I3" s="68" t="str">
        <x:v>groups</x:v>
      </x:c>
      <x:c r="J3" s="68" t="str">
        <x:v>8 grupos de 4 → Octavos → Final</x:v>
      </x:c>
      <x:c r="K3" s="68" t="str">
        <x:v>4</x:v>
      </x:c>
      <x:c r="L3" s="68" t="str">
        <x:v>2</x:v>
      </x:c>
      <x:c r="M3" s="68" t="str">
        <x:v>1</x:v>
      </x:c>
      <x:c r="N3" s="68" t="str">
        <x:v>SOLO_IDA</x:v>
      </x:c>
      <x:c r="O3" s="68" t="str">
        <x:v>Un torneo de élite con 32 jugadores: ocho grupos de cuatro, dos clasificados por grupo y eliminatorias desde octavos.</x:v>
      </x:c>
      <x:c r="P3" s="68" t="str">
        <x:v>2</x:v>
      </x:c>
      <x:c r="Q3" s="68" t="str">
        <x:v>SI</x:v>
      </x:c>
      <x:c r="R3" s="68" t="str">
        <x:v>EFOOTBALL/PORTADAS/oficial-2.avif</x:v>
      </x:c>
      <x:c r="S3" s="68" t="str">
        <x:v>EFOOTBALL/FIXTURE/oficial-2-minimalista.avif</x:v>
      </x:c>
      <x:c r="T3" s="68" t="str"/>
      <x:c r="U3" s="68" t="str"/>
      <x:c r="V3" s="68" t="str"/>
      <x:c r="W3" s="68" t="str"/>
      <x:c r="X3" s="68" t="str">
        <x:v>EFOOTBALL</x:v>
      </x:c>
    </x:row>
    <x:row r="4">
      <x:c r="A4" s="68" t="str">
        <x:v>ef-comp-03</x:v>
      </x:c>
      <x:c r="B4" s="68" t="str">
        <x:v>efootball</x:v>
      </x:c>
      <x:c r="C4" s="68" t="str">
        <x:v>GMAC Champions</x:v>
      </x:c>
      <x:c r="D4" s="68" t="str">
        <x:v>Champions</x:v>
      </x:c>
      <x:c r="E4" s="68" t="str">
        <x:v>assets/cups/efootball/portadas/oficial-3.png</x:v>
      </x:c>
      <x:c r="F4" s="68" t="str">
        <x:v>assets/cups/efootball/fixture/oficial-3-minimalista.png</x:v>
      </x:c>
      <x:c r="G4" s="68" t="str">
        <x:v>32</x:v>
      </x:c>
      <x:c r="H4" s="68" t="str">
        <x:v>32</x:v>
      </x:c>
      <x:c r="I4" s="68" t="str">
        <x:v>groups</x:v>
      </x:c>
      <x:c r="J4" s="68" t="str">
        <x:v>8 grupos de 4 → Octavos → Final</x:v>
      </x:c>
      <x:c r="K4" s="68" t="str">
        <x:v>4</x:v>
      </x:c>
      <x:c r="L4" s="68" t="str">
        <x:v>2</x:v>
      </x:c>
      <x:c r="M4" s="68" t="str">
        <x:v>1</x:v>
      </x:c>
      <x:c r="N4" s="68" t="str">
        <x:v>SOLO_IDA</x:v>
      </x:c>
      <x:c r="O4" s="68" t="str">
        <x:v>Una edición grande con 32 participantes, fase de grupos y rondas decisivas hasta coronar al campeón.</x:v>
      </x:c>
      <x:c r="P4" s="68" t="str">
        <x:v>3</x:v>
      </x:c>
      <x:c r="Q4" s="68" t="str">
        <x:v>SI</x:v>
      </x:c>
      <x:c r="R4" s="68" t="str">
        <x:v>EFOOTBALL/PORTADAS/oficial-3.avif</x:v>
      </x:c>
      <x:c r="S4" s="68" t="str">
        <x:v>EFOOTBALL/FIXTURE/oficial-3-minimalista.avif</x:v>
      </x:c>
      <x:c r="T4" s="68" t="str"/>
      <x:c r="U4" s="68" t="str"/>
      <x:c r="V4" s="68" t="str"/>
      <x:c r="W4" s="68" t="str"/>
      <x:c r="X4" s="68" t="str">
        <x:v>EFOOTBALL</x:v>
      </x:c>
    </x:row>
    <x:row r="5">
      <x:c r="A5" s="68" t="str">
        <x:v>ef-comp-04</x:v>
      </x:c>
      <x:c r="B5" s="68" t="str">
        <x:v>efootball</x:v>
      </x:c>
      <x:c r="C5" s="68" t="str">
        <x:v>Liga GMAC</x:v>
      </x:c>
      <x:c r="D5" s="68" t="str">
        <x:v>Liga</x:v>
      </x:c>
      <x:c r="E5" s="68" t="str">
        <x:v>assets/cups/efootball/portadas/oficial-4.png</x:v>
      </x:c>
      <x:c r="F5" s="68" t="str">
        <x:v>assets/cups/efootball/fixture/oficial-4-minimalista.png</x:v>
      </x:c>
      <x:c r="G5" s="68" t="str">
        <x:v>16</x:v>
      </x:c>
      <x:c r="H5" s="68" t="str">
        <x:v>16</x:v>
      </x:c>
      <x:c r="I5" s="68" t="str">
        <x:v>league</x:v>
      </x:c>
      <x:c r="J5" s="68" t="str">
        <x:v>Liga · 15 jornadas · todos contra todos</x:v>
      </x:c>
      <x:c r="K5" s="68" t="str">
        <x:v>4</x:v>
      </x:c>
      <x:c r="L5" s="68" t="str">
        <x:v>2</x:v>
      </x:c>
      <x:c r="M5" s="68" t="str">
        <x:v>1</x:v>
      </x:c>
      <x:c r="N5" s="68" t="str">
        <x:v>SOLO_IDA</x:v>
      </x:c>
      <x:c r="O5" s="68" t="str">
        <x:v>Dieciséis jugadores se enfrentan todos contra todos. La tabla se define por puntos tras 15 jornadas por participante.</x:v>
      </x:c>
      <x:c r="P5" s="68" t="str">
        <x:v>4</x:v>
      </x:c>
      <x:c r="Q5" s="68" t="str">
        <x:v>SI</x:v>
      </x:c>
      <x:c r="R5" s="68" t="str">
        <x:v>EFOOTBALL/PORTADAS/oficial-4.avif</x:v>
      </x:c>
      <x:c r="S5" s="68" t="str">
        <x:v>EFOOTBALL/FIXTURE/oficial-4-minimalista.avif</x:v>
      </x:c>
      <x:c r="T5" s="68" t="str"/>
      <x:c r="U5" s="68" t="str"/>
      <x:c r="V5" s="68" t="str"/>
      <x:c r="W5" s="68" t="str"/>
      <x:c r="X5" s="68" t="str">
        <x:v>EFOOTBALL</x:v>
      </x:c>
    </x:row>
    <x:row r="6">
      <x:c r="A6" s="68" t="str">
        <x:v>ef-comp-05</x:v>
      </x:c>
      <x:c r="B6" s="68" t="str">
        <x:v>efootball</x:v>
      </x:c>
      <x:c r="C6" s="68" t="str">
        <x:v>Masters eFootball</x:v>
      </x:c>
      <x:c r="D6" s="68" t="str">
        <x:v>Masters</x:v>
      </x:c>
      <x:c r="E6" s="68" t="str">
        <x:v>assets/cups/efootball/portadas/oficial-5.png</x:v>
      </x:c>
      <x:c r="F6" s="68" t="str">
        <x:v>assets/cups/efootball/fixture/oficial-5-minimalista.png</x:v>
      </x:c>
      <x:c r="G6" s="68" t="str">
        <x:v>16</x:v>
      </x:c>
      <x:c r="H6" s="68" t="str">
        <x:v>16</x:v>
      </x:c>
      <x:c r="I6" s="68" t="str">
        <x:v>knockout</x:v>
      </x:c>
      <x:c r="J6" s="68" t="str">
        <x:v>Octavos → Cuartos → Semifinal → Final</x:v>
      </x:c>
      <x:c r="K6" s="68" t="str">
        <x:v>4</x:v>
      </x:c>
      <x:c r="L6" s="68" t="str">
        <x:v>2</x:v>
      </x:c>
      <x:c r="M6" s="68" t="str">
        <x:v>1</x:v>
      </x:c>
      <x:c r="N6" s="68" t="str">
        <x:v>SOLO_IDA</x:v>
      </x:c>
      <x:c r="O6" s="68" t="str">
        <x:v>Copa de nivel alto para 16 participantes con eliminación directa hasta la gran final.</x:v>
      </x:c>
      <x:c r="P6" s="68" t="str">
        <x:v>5</x:v>
      </x:c>
      <x:c r="Q6" s="68" t="str">
        <x:v>SI</x:v>
      </x:c>
      <x:c r="R6" s="68" t="str">
        <x:v>EFOOTBALL/PORTADAS/oficial-5.avif</x:v>
      </x:c>
      <x:c r="S6" s="68" t="str">
        <x:v>EFOOTBALL/FIXTURE/oficial-5-minimalista.avif</x:v>
      </x:c>
      <x:c r="T6" s="68" t="str"/>
      <x:c r="U6" s="68" t="str"/>
      <x:c r="V6" s="68" t="str"/>
      <x:c r="W6" s="68" t="str"/>
      <x:c r="X6" s="68" t="str">
        <x:v>EFOOTBALL</x:v>
      </x:c>
    </x:row>
    <x:row r="7">
      <x:c r="A7" s="68" t="str">
        <x:v>ef-comp-06</x:v>
      </x:c>
      <x:c r="B7" s="68" t="str">
        <x:v>efootball</x:v>
      </x:c>
      <x:c r="C7" s="68" t="str">
        <x:v>Supercopa eFootball</x:v>
      </x:c>
      <x:c r="D7" s="68" t="str">
        <x:v>Supercopa</x:v>
      </x:c>
      <x:c r="E7" s="68" t="str">
        <x:v>assets/cups/efootball/portadas/oficial-6.png</x:v>
      </x:c>
      <x:c r="F7" s="68" t="str">
        <x:v>assets/cups/efootball/fixture/oficial-6-minimalista.png</x:v>
      </x:c>
      <x:c r="G7" s="68" t="str">
        <x:v>8</x:v>
      </x:c>
      <x:c r="H7" s="68" t="str">
        <x:v>8</x:v>
      </x:c>
      <x:c r="I7" s="68" t="str">
        <x:v>knockout</x:v>
      </x:c>
      <x:c r="J7" s="68" t="str">
        <x:v>Cuartos → Semifinal → Final</x:v>
      </x:c>
      <x:c r="K7" s="68" t="str">
        <x:v>4</x:v>
      </x:c>
      <x:c r="L7" s="68" t="str">
        <x:v>2</x:v>
      </x:c>
      <x:c r="M7" s="68" t="str">
        <x:v>1</x:v>
      </x:c>
      <x:c r="N7" s="68" t="str">
        <x:v>SOLO_IDA</x:v>
      </x:c>
      <x:c r="O7" s="68" t="str">
        <x:v>Una supercopa compacta de ocho jugadores, ideal para campeones, invitados o una edición premium.</x:v>
      </x:c>
      <x:c r="P7" s="68" t="str">
        <x:v>6</x:v>
      </x:c>
      <x:c r="Q7" s="68" t="str">
        <x:v>SI</x:v>
      </x:c>
      <x:c r="R7" s="68" t="str">
        <x:v>EFOOTBALL/PORTADAS/oficial-6.avif</x:v>
      </x:c>
      <x:c r="S7" s="68" t="str">
        <x:v>EFOOTBALL/FIXTURE/oficial-6-minimalista.avif</x:v>
      </x:c>
      <x:c r="T7" s="68" t="str"/>
      <x:c r="U7" s="68" t="str"/>
      <x:c r="V7" s="68" t="str"/>
      <x:c r="W7" s="68" t="str"/>
      <x:c r="X7" s="68" t="str">
        <x:v>EFOOTBALL</x:v>
      </x:c>
    </x:row>
    <x:row r="8">
      <x:c r="A8" s="68" t="str">
        <x:v>ef-relampago-pro</x:v>
      </x:c>
      <x:c r="B8" s="68" t="str">
        <x:v>efootball</x:v>
      </x:c>
      <x:c r="C8" s="68" t="str">
        <x:v>eFootball Pro Cup</x:v>
      </x:c>
      <x:c r="D8" s="68" t="str">
        <x:v>Oficial eFootball · Relámpago</x:v>
      </x:c>
      <x:c r="E8" s="68" t="str">
        <x:v>assets/cups/efootball/relampagos-oficiales/pro-cup.png</x:v>
      </x:c>
      <x:c r="F8" s="68" t="str">
        <x:v>assets/cups/efootball/relampagos-oficiales/pro-cup.png</x:v>
      </x:c>
      <x:c r="G8" s="68" t="str">
        <x:v>8</x:v>
      </x:c>
      <x:c r="H8" s="68" t="str">
        <x:v>relampago</x:v>
      </x:c>
      <x:c r="I8" s="68" t="str">
        <x:v>knockout</x:v>
      </x:c>
      <x:c r="J8" s="68" t="str">
        <x:v>Cuartos → Semifinal → Final · partido único</x:v>
      </x:c>
      <x:c r="K8" s="68" t="str">
        <x:v>4</x:v>
      </x:c>
      <x:c r="L8" s="68" t="str">
        <x:v>2</x:v>
      </x:c>
      <x:c r="M8" s="68" t="str">
        <x:v>1</x:v>
      </x:c>
      <x:c r="N8" s="68" t="str">
        <x:v>SOLO_IDA</x:v>
      </x:c>
      <x:c r="O8" s="68" t="str">
        <x:v>Serie Pro oficial de eFootball para ocho participantes.</x:v>
      </x:c>
      <x:c r="P8" s="68" t="str">
        <x:v>7</x:v>
      </x:c>
      <x:c r="Q8" s="68" t="str">
        <x:v>SI</x:v>
      </x:c>
      <x:c r="R8" s="68" t="str">
        <x:v>EFOOTBALL/PORTADAS/pro-cup.avif</x:v>
      </x:c>
      <x:c r="S8" s="68" t="str">
        <x:v>EFOOTBALL/PORTADAS/pro-cup.avif</x:v>
      </x:c>
      <x:c r="T8" s="68" t="str"/>
      <x:c r="U8" s="68" t="str"/>
      <x:c r="V8" s="68" t="str"/>
      <x:c r="W8" s="68" t="str"/>
      <x:c r="X8" s="68" t="str">
        <x:v>EFOOTBALL</x:v>
      </x:c>
    </x:row>
    <x:row r="9">
      <x:c r="A9" s="68" t="str">
        <x:v>ef-relampago-evolution</x:v>
      </x:c>
      <x:c r="B9" s="68" t="str">
        <x:v>efootball</x:v>
      </x:c>
      <x:c r="C9" s="68" t="str">
        <x:v>eFootball Evolution Cup</x:v>
      </x:c>
      <x:c r="D9" s="68" t="str">
        <x:v>Oficial eFootball · Relámpago</x:v>
      </x:c>
      <x:c r="E9" s="68" t="str">
        <x:v>assets/cups/efootball/relampagos-oficiales/evolution-cup.png</x:v>
      </x:c>
      <x:c r="F9" s="68" t="str">
        <x:v>assets/cups/efootball/relampagos-oficiales/evolution-cup.png</x:v>
      </x:c>
      <x:c r="G9" s="68" t="str">
        <x:v>8</x:v>
      </x:c>
      <x:c r="H9" s="68" t="str">
        <x:v>relampago</x:v>
      </x:c>
      <x:c r="I9" s="68" t="str">
        <x:v>knockout</x:v>
      </x:c>
      <x:c r="J9" s="68" t="str">
        <x:v>Cuartos → Semifinal → Final · partido único</x:v>
      </x:c>
      <x:c r="K9" s="68" t="str">
        <x:v>4</x:v>
      </x:c>
      <x:c r="L9" s="68" t="str">
        <x:v>2</x:v>
      </x:c>
      <x:c r="M9" s="68" t="str">
        <x:v>1</x:v>
      </x:c>
      <x:c r="N9" s="68" t="str">
        <x:v>SOLO_IDA</x:v>
      </x:c>
      <x:c r="O9" s="68" t="str">
        <x:v>Relámpago oficial de ocho jugadores inspirado en la evolución competitiva de eFootball.</x:v>
      </x:c>
      <x:c r="P9" s="68" t="str">
        <x:v>8</x:v>
      </x:c>
      <x:c r="Q9" s="68" t="str">
        <x:v>SI</x:v>
      </x:c>
      <x:c r="R9" s="68" t="str">
        <x:v>EFOOTBALL/PORTADAS/evolution-cup.avif</x:v>
      </x:c>
      <x:c r="S9" s="68" t="str">
        <x:v>EFOOTBALL/PORTADAS/evolution-cup.avif</x:v>
      </x:c>
      <x:c r="T9" s="68" t="str"/>
      <x:c r="U9" s="68" t="str"/>
      <x:c r="V9" s="68" t="str"/>
      <x:c r="W9" s="68" t="str"/>
      <x:c r="X9" s="68" t="str">
        <x:v>EFOOTBALL</x:v>
      </x:c>
    </x:row>
    <x:row r="10">
      <x:c r="A10" s="68" t="str">
        <x:v>ef-relampago-elite</x:v>
      </x:c>
      <x:c r="B10" s="68" t="str">
        <x:v>efootball</x:v>
      </x:c>
      <x:c r="C10" s="68" t="str">
        <x:v>eFootball Elite Cup</x:v>
      </x:c>
      <x:c r="D10" s="68" t="str">
        <x:v>Oficial eFootball · Relámpago</x:v>
      </x:c>
      <x:c r="E10" s="68" t="str">
        <x:v>assets/cups/efootball/relampagos-oficiales/elite-cup.png</x:v>
      </x:c>
      <x:c r="F10" s="68" t="str">
        <x:v>assets/cups/efootball/relampagos-oficiales/elite-cup.png</x:v>
      </x:c>
      <x:c r="G10" s="68" t="str">
        <x:v>8</x:v>
      </x:c>
      <x:c r="H10" s="68" t="str">
        <x:v>relampago</x:v>
      </x:c>
      <x:c r="I10" s="68" t="str">
        <x:v>knockout</x:v>
      </x:c>
      <x:c r="J10" s="68" t="str">
        <x:v>Cuartos → Semifinal → Final · partido único</x:v>
      </x:c>
      <x:c r="K10" s="68" t="str">
        <x:v>4</x:v>
      </x:c>
      <x:c r="L10" s="68" t="str">
        <x:v>2</x:v>
      </x:c>
      <x:c r="M10" s="68" t="str">
        <x:v>1</x:v>
      </x:c>
      <x:c r="N10" s="68" t="str">
        <x:v>SOLO_IDA</x:v>
      </x:c>
      <x:c r="O10" s="68" t="str">
        <x:v>Copa Elite oficial de eFootball para ocho participantes y eliminación directa.</x:v>
      </x:c>
      <x:c r="P10" s="68" t="str">
        <x:v>9</x:v>
      </x:c>
      <x:c r="Q10" s="68" t="str">
        <x:v>SI</x:v>
      </x:c>
      <x:c r="R10" s="68" t="str">
        <x:v>EFOOTBALL/PORTADAS/elite-cup.avif</x:v>
      </x:c>
      <x:c r="S10" s="68" t="str">
        <x:v>EFOOTBALL/PORTADAS/elite-cup.avif</x:v>
      </x:c>
      <x:c r="T10" s="68" t="str"/>
      <x:c r="U10" s="68" t="str"/>
      <x:c r="V10" s="68" t="str"/>
      <x:c r="W10" s="68" t="str"/>
      <x:c r="X10" s="68" t="str">
        <x:v>EFOOTBALL</x:v>
      </x:c>
    </x:row>
    <x:row r="11">
      <x:c r="A11" s="68" t="str">
        <x:v>ef-relampago-crystal</x:v>
      </x:c>
      <x:c r="B11" s="68" t="str">
        <x:v>efootball</x:v>
      </x:c>
      <x:c r="C11" s="68" t="str">
        <x:v>eFootball Crystal Cup</x:v>
      </x:c>
      <x:c r="D11" s="68" t="str">
        <x:v>Oficial eFootball · Relámpago</x:v>
      </x:c>
      <x:c r="E11" s="68" t="str">
        <x:v>assets/cups/efootball/relampagos-oficiales/crystal-cup.png</x:v>
      </x:c>
      <x:c r="F11" s="68" t="str">
        <x:v>assets/cups/efootball/relampagos-oficiales/crystal-cup.png</x:v>
      </x:c>
      <x:c r="G11" s="68" t="str">
        <x:v>8</x:v>
      </x:c>
      <x:c r="H11" s="68" t="str">
        <x:v>relampago</x:v>
      </x:c>
      <x:c r="I11" s="68" t="str">
        <x:v>knockout</x:v>
      </x:c>
      <x:c r="J11" s="68" t="str">
        <x:v>Cuartos → Semifinal → Final · partido único</x:v>
      </x:c>
      <x:c r="K11" s="68" t="str">
        <x:v>4</x:v>
      </x:c>
      <x:c r="L11" s="68" t="str">
        <x:v>2</x:v>
      </x:c>
      <x:c r="M11" s="68" t="str">
        <x:v>1</x:v>
      </x:c>
      <x:c r="N11" s="68" t="str">
        <x:v>SOLO_IDA</x:v>
      </x:c>
      <x:c r="O11" s="68" t="str">
        <x:v>Edición Crystal oficial de eFootball, compacta y a partido único.</x:v>
      </x:c>
      <x:c r="P11" s="68" t="str">
        <x:v>10</x:v>
      </x:c>
      <x:c r="Q11" s="68" t="str">
        <x:v>SI</x:v>
      </x:c>
      <x:c r="R11" s="68" t="str">
        <x:v>EFOOTBALL/PORTADAS/crystal-cup.avif</x:v>
      </x:c>
      <x:c r="S11" s="68" t="str">
        <x:v>EFOOTBALL/PORTADAS/crystal-cup.avif</x:v>
      </x:c>
      <x:c r="T11" s="68" t="str"/>
      <x:c r="U11" s="68" t="str"/>
      <x:c r="V11" s="68" t="str"/>
      <x:c r="W11" s="68" t="str"/>
      <x:c r="X11" s="68" t="str">
        <x:v>EFOOTBALL</x:v>
      </x:c>
    </x:row>
    <x:row r="12">
      <x:c r="A12" s="68" t="str">
        <x:v>ef-relampago-champions</x:v>
      </x:c>
      <x:c r="B12" s="68" t="str">
        <x:v>efootball</x:v>
      </x:c>
      <x:c r="C12" s="68" t="str">
        <x:v>eFootball Champions Cup</x:v>
      </x:c>
      <x:c r="D12" s="68" t="str">
        <x:v>Oficial eFootball · Relámpago</x:v>
      </x:c>
      <x:c r="E12" s="68" t="str">
        <x:v>assets/cups/efootball/relampagos-oficiales/champions-cup.png</x:v>
      </x:c>
      <x:c r="F12" s="68" t="str">
        <x:v>assets/cups/efootball/relampagos-oficiales/champions-cup.png</x:v>
      </x:c>
      <x:c r="G12" s="68" t="str">
        <x:v>8</x:v>
      </x:c>
      <x:c r="H12" s="68" t="str">
        <x:v>relampago</x:v>
      </x:c>
      <x:c r="I12" s="68" t="str">
        <x:v>knockout</x:v>
      </x:c>
      <x:c r="J12" s="68" t="str">
        <x:v>Cuartos → Semifinal → Final · partido único</x:v>
      </x:c>
      <x:c r="K12" s="68" t="str">
        <x:v>4</x:v>
      </x:c>
      <x:c r="L12" s="68" t="str">
        <x:v>2</x:v>
      </x:c>
      <x:c r="M12" s="68" t="str">
        <x:v>1</x:v>
      </x:c>
      <x:c r="N12" s="68" t="str">
        <x:v>SOLO_IDA</x:v>
      </x:c>
      <x:c r="O12" s="68" t="str">
        <x:v>Relámpago Champions oficial de eFootball reservado para ocho jugadores.</x:v>
      </x:c>
      <x:c r="P12" s="68" t="str">
        <x:v>11</x:v>
      </x:c>
      <x:c r="Q12" s="68" t="str">
        <x:v>SI</x:v>
      </x:c>
      <x:c r="R12" s="68" t="str">
        <x:v>EFOOTBALL/PORTADAS/champions-cup.avif</x:v>
      </x:c>
      <x:c r="S12" s="68" t="str">
        <x:v>EFOOTBALL/PORTADAS/champions-cup.avif</x:v>
      </x:c>
      <x:c r="T12" s="68" t="str"/>
      <x:c r="U12" s="68" t="str"/>
      <x:c r="V12" s="68" t="str"/>
      <x:c r="W12" s="68" t="str"/>
      <x:c r="X12" s="68" t="str">
        <x:v>EFOOTBALL</x:v>
      </x:c>
    </x:row>
    <x:row r="13">
      <x:c r="A13" s="68" t="str">
        <x:v>ef-relampago-impact</x:v>
      </x:c>
      <x:c r="B13" s="68" t="str">
        <x:v>efootball</x:v>
      </x:c>
      <x:c r="C13" s="68" t="str">
        <x:v>eFootball Impact Cup</x:v>
      </x:c>
      <x:c r="D13" s="68" t="str">
        <x:v>Oficial eFootball · Relámpago</x:v>
      </x:c>
      <x:c r="E13" s="68" t="str">
        <x:v>assets/cups/efootball/relampagos-oficiales/impact-cup.png</x:v>
      </x:c>
      <x:c r="F13" s="68" t="str">
        <x:v>assets/cups/efootball/relampagos-oficiales/impact-cup.png</x:v>
      </x:c>
      <x:c r="G13" s="68" t="str">
        <x:v>8</x:v>
      </x:c>
      <x:c r="H13" s="68" t="str">
        <x:v>relampago</x:v>
      </x:c>
      <x:c r="I13" s="68" t="str">
        <x:v>knockout</x:v>
      </x:c>
      <x:c r="J13" s="68" t="str">
        <x:v>Cuartos → Semifinal → Final · partido único</x:v>
      </x:c>
      <x:c r="K13" s="68" t="str">
        <x:v>4</x:v>
      </x:c>
      <x:c r="L13" s="68" t="str">
        <x:v>2</x:v>
      </x:c>
      <x:c r="M13" s="68" t="str">
        <x:v>1</x:v>
      </x:c>
      <x:c r="N13" s="68" t="str">
        <x:v>SOLO_IDA</x:v>
      </x:c>
      <x:c r="O13" s="68" t="str">
        <x:v>Copa Impact oficial de eFootball para una llave rápida de ocho participantes.</x:v>
      </x:c>
      <x:c r="P13" s="68" t="str">
        <x:v>12</x:v>
      </x:c>
      <x:c r="Q13" s="68" t="str">
        <x:v>SI</x:v>
      </x:c>
      <x:c r="R13" s="68" t="str">
        <x:v>EFOOTBALL/PORTADAS/impact-cup.avif</x:v>
      </x:c>
      <x:c r="S13" s="68" t="str">
        <x:v>EFOOTBALL/PORTADAS/impact-cup.avif</x:v>
      </x:c>
      <x:c r="T13" s="68" t="str"/>
      <x:c r="U13" s="68" t="str"/>
      <x:c r="V13" s="68" t="str"/>
      <x:c r="W13" s="68" t="str"/>
      <x:c r="X13" s="68" t="str">
        <x:v>EFOOTBALL</x:v>
      </x:c>
    </x:row>
    <x:row r="14">
      <x:c r="A14" s="68" t="str">
        <x:v>ef-relampago-bruno-fernandes</x:v>
      </x:c>
      <x:c r="B14" s="68" t="str">
        <x:v>efootball</x:v>
      </x:c>
      <x:c r="C14" s="68" t="str">
        <x:v>Cup Bruno Fernandes</x:v>
      </x:c>
      <x:c r="D14" s="68" t="str">
        <x:v>Oficial eFootball · Relámpago</x:v>
      </x:c>
      <x:c r="E14" s="68" t="str">
        <x:v>assets/cups/efootball/relampagos-oficiales/cup-bruno-fernandes.png</x:v>
      </x:c>
      <x:c r="F14" s="68" t="str">
        <x:v>assets/cups/efootball/relampagos-oficiales/cup-bruno-fernandes.png</x:v>
      </x:c>
      <x:c r="G14" s="68" t="str">
        <x:v>8</x:v>
      </x:c>
      <x:c r="H14" s="68" t="str">
        <x:v>relampago</x:v>
      </x:c>
      <x:c r="I14" s="68" t="str">
        <x:v>knockout</x:v>
      </x:c>
      <x:c r="J14" s="68" t="str">
        <x:v>Cuartos → Semifinal → Final · partido único</x:v>
      </x:c>
      <x:c r="K14" s="68" t="str">
        <x:v>4</x:v>
      </x:c>
      <x:c r="L14" s="68" t="str">
        <x:v>2</x:v>
      </x:c>
      <x:c r="M14" s="68" t="str">
        <x:v>1</x:v>
      </x:c>
      <x:c r="N14" s="68" t="str">
        <x:v>SOLO_IDA</x:v>
      </x:c>
      <x:c r="O14" s="68" t="str">
        <x:v>Relámpago oficial Cup Bruno Fernandes de eFootball para ocho participantes.</x:v>
      </x:c>
      <x:c r="P14" s="68" t="str">
        <x:v>13</x:v>
      </x:c>
      <x:c r="Q14" s="68" t="str">
        <x:v>SI</x:v>
      </x:c>
      <x:c r="R14" s="68" t="str">
        <x:v>EFOOTBALL/PORTADAS/cup-bruno-fernandes.avif</x:v>
      </x:c>
      <x:c r="S14" s="68" t="str">
        <x:v>EFOOTBALL/PORTADAS/cup-bruno-fernandes.avif</x:v>
      </x:c>
      <x:c r="T14" s="68" t="str"/>
      <x:c r="U14" s="68" t="str"/>
      <x:c r="V14" s="68" t="str"/>
      <x:c r="W14" s="68" t="str"/>
      <x:c r="X14" s="68" t="str">
        <x:v>EFOOTBALL</x:v>
      </x:c>
    </x:row>
    <x:row r="15">
      <x:c r="A15" s="68" t="str">
        <x:v>ef-official-copa-del-mundo</x:v>
      </x:c>
      <x:c r="B15" s="68" t="str">
        <x:v>efootball</x:v>
      </x:c>
      <x:c r="C15" s="68" t="str">
        <x:v>Copa del Mundo · eFootball</x:v>
      </x:c>
      <x:c r="D15" s="68" t="str">
        <x:v>Selecciones</x:v>
      </x:c>
      <x:c r="E15" s="68" t="str">
        <x:v>assets/cups/official/copa-del-mundo.png</x:v>
      </x:c>
      <x:c r="F15" s="68" t="str">
        <x:v>assets/cups/official/copa-del-mundo.png</x:v>
      </x:c>
      <x:c r="G15" s="68" t="str">
        <x:v>48</x:v>
      </x:c>
      <x:c r="H15" s="68" t="str">
        <x:v>oficial</x:v>
      </x:c>
      <x:c r="I15" s="68" t="str">
        <x:v>groups</x:v>
      </x:c>
      <x:c r="J15" s="68" t="str">
        <x:v>12 grupos de 4 → 2 primeros + 8 mejores terceros → Ronda de 32 → Final</x:v>
      </x:c>
      <x:c r="K15" s="68" t="str">
        <x:v>4</x:v>
      </x:c>
      <x:c r="L15" s="68" t="str">
        <x:v>2</x:v>
      </x:c>
      <x:c r="M15" s="68" t="str">
        <x:v>1</x:v>
      </x:c>
      <x:c r="N15" s="68" t="str">
        <x:v>SOLO_IDA</x:v>
      </x:c>
      <x:c r="O15" s="68" t="str">
        <x:v>Formato mundial de 48 participantes: doce grupos de cuatro, avanzan los dos primeros de cada grupo y los ocho mejores terceros; desde la Ronda de 32 se juega eliminación directa.</x:v>
      </x:c>
      <x:c r="P15" s="68" t="str">
        <x:v>14</x:v>
      </x:c>
      <x:c r="Q15" s="68" t="str">
        <x:v>SI</x:v>
      </x:c>
      <x:c r="R15" s="68" t="str">
        <x:v>COMPARTIDAS/copa-del-mundo.avif</x:v>
      </x:c>
      <x:c r="S15" s="68" t="str">
        <x:v>COMPARTIDAS/copa-del-mundo.avif</x:v>
      </x:c>
      <x:c r="T15" s="68" t="str"/>
      <x:c r="U15" s="68" t="str"/>
      <x:c r="V15" s="68" t="str"/>
      <x:c r="W15" s="68" t="str"/>
      <x:c r="X15" s="68" t="str">
        <x:v>COMPARTIDAS</x:v>
      </x:c>
    </x:row>
    <x:row r="16">
      <x:c r="A16" s="68" t="str">
        <x:v>ef-official-uefa-champions-league</x:v>
      </x:c>
      <x:c r="B16" s="68" t="str">
        <x:v>efootball</x:v>
      </x:c>
      <x:c r="C16" s="68" t="str">
        <x:v>UEFA Champions League · eFootball</x:v>
      </x:c>
      <x:c r="D16" s="68" t="str">
        <x:v>Clubes</x:v>
      </x:c>
      <x:c r="E16" s="68" t="str">
        <x:v>assets/cups/official/uefa-champions-league.png</x:v>
      </x:c>
      <x:c r="F16" s="68" t="str">
        <x:v>assets/cups/official/uefa-champions-league.png</x:v>
      </x:c>
      <x:c r="G16" s="68" t="str">
        <x:v>36</x:v>
      </x:c>
      <x:c r="H16" s="68" t="str">
        <x:v>oficial</x:v>
      </x:c>
      <x:c r="I16" s="68" t="str">
        <x:v>league_phase</x:v>
      </x:c>
      <x:c r="J16" s="68" t="str">
        <x:v>Fase liga de 36 · 8 partidos c/u → Top 8 a octavos · 9.º–24.º play-off → Final</x:v>
      </x:c>
      <x:c r="K16" s="68" t="str">
        <x:v>4</x:v>
      </x:c>
      <x:c r="L16" s="68" t="str">
        <x:v>2</x:v>
      </x:c>
      <x:c r="M16" s="68" t="str">
        <x:v>1</x:v>
      </x:c>
      <x:c r="N16" s="68" t="str">
        <x:v>SOLO_IDA</x:v>
      </x:c>
      <x:c r="O16" s="68" t="str">
        <x:v>Formato de fase liga: 36 participantes disputan ocho partidos ante rivales distintos; los ocho primeros avanzan a octavos y del 9.º al 24.º juegan un play-off previo.</x:v>
      </x:c>
      <x:c r="P16" s="68" t="str">
        <x:v>15</x:v>
      </x:c>
      <x:c r="Q16" s="68" t="str">
        <x:v>SI</x:v>
      </x:c>
      <x:c r="R16" s="68" t="str">
        <x:v>COMPARTIDAS/uefa-champions-league.avif</x:v>
      </x:c>
      <x:c r="S16" s="68" t="str">
        <x:v>COMPARTIDAS/uefa-champions-league.avif</x:v>
      </x:c>
      <x:c r="T16" s="68" t="str"/>
      <x:c r="U16" s="68" t="str"/>
      <x:c r="V16" s="68" t="str"/>
      <x:c r="W16" s="68" t="str"/>
      <x:c r="X16" s="68" t="str">
        <x:v>COMPARTIDAS</x:v>
      </x:c>
    </x:row>
    <x:row r="17">
      <x:c r="A17" s="68" t="str">
        <x:v>ef-official-copa-libertadores</x:v>
      </x:c>
      <x:c r="B17" s="68" t="str">
        <x:v>efootball</x:v>
      </x:c>
      <x:c r="C17" s="68" t="str">
        <x:v>Copa Libertadores · eFootball</x:v>
      </x:c>
      <x:c r="D17" s="68" t="str">
        <x:v>Clubes</x:v>
      </x:c>
      <x:c r="E17" s="68" t="str">
        <x:v>assets/cups/official/copa-libertadores.png</x:v>
      </x:c>
      <x:c r="F17" s="68" t="str">
        <x:v>assets/cups/official/copa-libertadores.png</x:v>
      </x:c>
      <x:c r="G17" s="68" t="str">
        <x:v>32</x:v>
      </x:c>
      <x:c r="H17" s="68" t="str">
        <x:v>oficial</x:v>
      </x:c>
      <x:c r="I17" s="68" t="str">
        <x:v>groups</x:v>
      </x:c>
      <x:c r="J17" s="68" t="str">
        <x:v>8 grupos de 4 · solo ida → Octavos → Final</x:v>
      </x:c>
      <x:c r="K17" s="68" t="str">
        <x:v>4</x:v>
      </x:c>
      <x:c r="L17" s="68" t="str">
        <x:v>2</x:v>
      </x:c>
      <x:c r="M17" s="68" t="str">
        <x:v>1</x:v>
      </x:c>
      <x:c r="N17" s="68" t="str">
        <x:v>SOLO_IDA</x:v>
      </x:c>
      <x:c r="O17" s="68" t="str">
        <x:v>Treinta y dos participantes en ocho grupos de cuatro, con un solo partido contra cada rival del grupo. Los dos primeros avanzan a octavos y continúan por eliminatorias a partido único.</x:v>
      </x:c>
      <x:c r="P17" s="68" t="str">
        <x:v>16</x:v>
      </x:c>
      <x:c r="Q17" s="68" t="str">
        <x:v>SI</x:v>
      </x:c>
      <x:c r="R17" s="68" t="str">
        <x:v>COMPARTIDAS/copa-libertadores.avif</x:v>
      </x:c>
      <x:c r="S17" s="68" t="str">
        <x:v>COMPARTIDAS/copa-libertadores.avif</x:v>
      </x:c>
      <x:c r="T17" s="68" t="str"/>
      <x:c r="U17" s="68" t="str"/>
      <x:c r="V17" s="68" t="str"/>
      <x:c r="W17" s="68" t="str"/>
      <x:c r="X17" s="68" t="str">
        <x:v>COMPARTIDAS</x:v>
      </x:c>
    </x:row>
    <x:row r="18">
      <x:c r="A18" s="68" t="str">
        <x:v>ef-official-eurocopa</x:v>
      </x:c>
      <x:c r="B18" s="68" t="str">
        <x:v>efootball</x:v>
      </x:c>
      <x:c r="C18" s="68" t="str">
        <x:v>Eurocopa · eFootball</x:v>
      </x:c>
      <x:c r="D18" s="68" t="str">
        <x:v>Selecciones</x:v>
      </x:c>
      <x:c r="E18" s="68" t="str">
        <x:v>assets/cups/official/eurocopa.png</x:v>
      </x:c>
      <x:c r="F18" s="68" t="str">
        <x:v>assets/cups/official/eurocopa.png</x:v>
      </x:c>
      <x:c r="G18" s="68" t="str">
        <x:v>24</x:v>
      </x:c>
      <x:c r="H18" s="68" t="str">
        <x:v>oficial</x:v>
      </x:c>
      <x:c r="I18" s="68" t="str">
        <x:v>groups</x:v>
      </x:c>
      <x:c r="J18" s="68" t="str">
        <x:v>6 grupos de 4 → 2 primeros + 4 mejores terceros → Octavos → Final</x:v>
      </x:c>
      <x:c r="K18" s="68" t="str">
        <x:v>4</x:v>
      </x:c>
      <x:c r="L18" s="68" t="str">
        <x:v>2</x:v>
      </x:c>
      <x:c r="M18" s="68" t="str">
        <x:v>1</x:v>
      </x:c>
      <x:c r="N18" s="68" t="str">
        <x:v>SOLO_IDA</x:v>
      </x:c>
      <x:c r="O18" s="68" t="str">
        <x:v>Veinticuatro participantes en seis grupos de cuatro; avanzan los dos primeros de cada grupo y los cuatro mejores terceros a octavos de final.</x:v>
      </x:c>
      <x:c r="P18" s="68" t="str">
        <x:v>17</x:v>
      </x:c>
      <x:c r="Q18" s="68" t="str">
        <x:v>SI</x:v>
      </x:c>
      <x:c r="R18" s="68" t="str">
        <x:v>COMPARTIDAS/eurocopa.avif</x:v>
      </x:c>
      <x:c r="S18" s="68" t="str">
        <x:v>COMPARTIDAS/eurocopa.avif</x:v>
      </x:c>
      <x:c r="T18" s="68" t="str"/>
      <x:c r="U18" s="68" t="str"/>
      <x:c r="V18" s="68" t="str"/>
      <x:c r="W18" s="68" t="str"/>
      <x:c r="X18" s="68" t="str">
        <x:v>COMPARTIDAS</x:v>
      </x:c>
    </x:row>
    <x:row r="19">
      <x:c r="A19" s="68" t="str">
        <x:v>ef-official-copa-america</x:v>
      </x:c>
      <x:c r="B19" s="68" t="str">
        <x:v>efootball</x:v>
      </x:c>
      <x:c r="C19" s="68" t="str">
        <x:v>Copa América · eFootball</x:v>
      </x:c>
      <x:c r="D19" s="68" t="str">
        <x:v>Selecciones</x:v>
      </x:c>
      <x:c r="E19" s="68" t="str">
        <x:v>assets/cups/official/copa-america.png</x:v>
      </x:c>
      <x:c r="F19" s="68" t="str">
        <x:v>assets/cups/official/copa-america.png</x:v>
      </x:c>
      <x:c r="G19" s="68" t="str">
        <x:v>16</x:v>
      </x:c>
      <x:c r="H19" s="68" t="str">
        <x:v>oficial</x:v>
      </x:c>
      <x:c r="I19" s="68" t="str">
        <x:v>groups</x:v>
      </x:c>
      <x:c r="J19" s="68" t="str">
        <x:v>4 grupos de 4 → Cuartos → Semifinal → Final</x:v>
      </x:c>
      <x:c r="K19" s="68" t="str">
        <x:v>4</x:v>
      </x:c>
      <x:c r="L19" s="68" t="str">
        <x:v>2</x:v>
      </x:c>
      <x:c r="M19" s="68" t="str">
        <x:v>1</x:v>
      </x:c>
      <x:c r="N19" s="68" t="str">
        <x:v>SOLO_IDA</x:v>
      </x:c>
      <x:c r="O19" s="68" t="str">
        <x:v>Dieciséis participantes repartidos en cuatro grupos de cuatro. Los dos primeros de cada grupo avanzan a cuartos de final.</x:v>
      </x:c>
      <x:c r="P19" s="68" t="str">
        <x:v>18</x:v>
      </x:c>
      <x:c r="Q19" s="68" t="str">
        <x:v>SI</x:v>
      </x:c>
      <x:c r="R19" s="68" t="str">
        <x:v>COMPARTIDAS/copa-america.avif</x:v>
      </x:c>
      <x:c r="S19" s="68" t="str">
        <x:v>COMPARTIDAS/copa-america.avif</x:v>
      </x:c>
      <x:c r="T19" s="68" t="str"/>
      <x:c r="U19" s="68" t="str"/>
      <x:c r="V19" s="68" t="str"/>
      <x:c r="W19" s="68" t="str"/>
      <x:c r="X19" s="68" t="str">
        <x:v>COMPARTIDAS</x:v>
      </x:c>
    </x:row>
    <x:row r="20">
      <x:c r="A20" s="68" t="str">
        <x:v>ef-official-mundial-de-clubes</x:v>
      </x:c>
      <x:c r="B20" s="68" t="str">
        <x:v>efootball</x:v>
      </x:c>
      <x:c r="C20" s="68" t="str">
        <x:v>Mundial de Clubes de la FIFA · eFootball</x:v>
      </x:c>
      <x:c r="D20" s="68" t="str">
        <x:v>Clubes</x:v>
      </x:c>
      <x:c r="E20" s="68" t="str">
        <x:v>assets/cups/official/mundial-de-clubes.png</x:v>
      </x:c>
      <x:c r="F20" s="68" t="str">
        <x:v>assets/cups/official/mundial-de-clubes.png</x:v>
      </x:c>
      <x:c r="G20" s="68" t="str">
        <x:v>32</x:v>
      </x:c>
      <x:c r="H20" s="68" t="str">
        <x:v>oficial</x:v>
      </x:c>
      <x:c r="I20" s="68" t="str">
        <x:v>groups</x:v>
      </x:c>
      <x:c r="J20" s="68" t="str">
        <x:v>8 grupos de 4 → Octavos → Cuartos → Semifinal → Final</x:v>
      </x:c>
      <x:c r="K20" s="68" t="str">
        <x:v>4</x:v>
      </x:c>
      <x:c r="L20" s="68" t="str">
        <x:v>2</x:v>
      </x:c>
      <x:c r="M20" s="68" t="str">
        <x:v>1</x:v>
      </x:c>
      <x:c r="N20" s="68" t="str">
        <x:v>SOLO_IDA</x:v>
      </x:c>
      <x:c r="O20" s="68" t="str">
        <x:v>Treinta y dos clubes en ocho grupos de cuatro a una sola vuelta. Los dos mejores de cada grupo avanzan a octavos y desde allí se juega a eliminación directa.</x:v>
      </x:c>
      <x:c r="P20" s="68" t="str">
        <x:v>19</x:v>
      </x:c>
      <x:c r="Q20" s="68" t="str">
        <x:v>SI</x:v>
      </x:c>
      <x:c r="R20" s="68" t="str">
        <x:v>COMPARTIDAS/mundial-de-clubes.avif</x:v>
      </x:c>
      <x:c r="S20" s="68" t="str">
        <x:v>COMPARTIDAS/mundial-de-clubes.avif</x:v>
      </x:c>
      <x:c r="T20" s="68" t="str"/>
      <x:c r="U20" s="68" t="str"/>
      <x:c r="V20" s="68" t="str"/>
      <x:c r="W20" s="68" t="str"/>
      <x:c r="X20" s="68" t="str">
        <x:v>COMPARTIDAS</x:v>
      </x:c>
    </x:row>
    <x:row r="21">
      <x:c r="A21" s="68" t="str">
        <x:v>ef-official-premier-league</x:v>
      </x:c>
      <x:c r="B21" s="68" t="str">
        <x:v>efootball</x:v>
      </x:c>
      <x:c r="C21" s="68" t="str">
        <x:v>Premier League · eFootball</x:v>
      </x:c>
      <x:c r="D21" s="68" t="str">
        <x:v>Liga</x:v>
      </x:c>
      <x:c r="E21" s="68" t="str">
        <x:v>assets/cups/official/premier-league.png</x:v>
      </x:c>
      <x:c r="F21" s="68" t="str">
        <x:v>assets/cups/official/premier-league.png</x:v>
      </x:c>
      <x:c r="G21" s="68" t="str">
        <x:v>20</x:v>
      </x:c>
      <x:c r="H21" s="68" t="str">
        <x:v>oficial</x:v>
      </x:c>
      <x:c r="I21" s="68" t="str">
        <x:v>league</x:v>
      </x:c>
      <x:c r="J21" s="68" t="str">
        <x:v>Liga · 20 participantes · 19 jornadas · solo ida</x:v>
      </x:c>
      <x:c r="K21" s="68" t="str">
        <x:v>4</x:v>
      </x:c>
      <x:c r="L21" s="68" t="str">
        <x:v>2</x:v>
      </x:c>
      <x:c r="M21" s="68" t="str">
        <x:v>1</x:v>
      </x:c>
      <x:c r="N21" s="68" t="str">
        <x:v>SOLO_IDA</x:v>
      </x:c>
      <x:c r="O21" s="68" t="str">
        <x:v>Liga de veinte participantes a una sola vuelta. Cada participante disputa 19 partidos y el campeón se define por la tabla de puntos.</x:v>
      </x:c>
      <x:c r="P21" s="68" t="str">
        <x:v>20</x:v>
      </x:c>
      <x:c r="Q21" s="68" t="str">
        <x:v>SI</x:v>
      </x:c>
      <x:c r="R21" s="68" t="str">
        <x:v>COMPARTIDAS/premier-league.avif</x:v>
      </x:c>
      <x:c r="S21" s="68" t="str">
        <x:v>COMPARTIDAS/premier-league.avif</x:v>
      </x:c>
      <x:c r="T21" s="68" t="str"/>
      <x:c r="U21" s="68" t="str"/>
      <x:c r="V21" s="68" t="str"/>
      <x:c r="W21" s="68" t="str"/>
      <x:c r="X21" s="68" t="str">
        <x:v>COMPARTIDAS</x:v>
      </x:c>
    </x:row>
    <x:row r="22">
      <x:c r="A22" s="68" t="str">
        <x:v>ef-official-laliga</x:v>
      </x:c>
      <x:c r="B22" s="68" t="str">
        <x:v>efootball</x:v>
      </x:c>
      <x:c r="C22" s="68" t="str">
        <x:v>LaLiga · eFootball</x:v>
      </x:c>
      <x:c r="D22" s="68" t="str">
        <x:v>Liga</x:v>
      </x:c>
      <x:c r="E22" s="68" t="str">
        <x:v>assets/cups/official/laliga.png</x:v>
      </x:c>
      <x:c r="F22" s="68" t="str">
        <x:v>assets/cups/official/laliga.png</x:v>
      </x:c>
      <x:c r="G22" s="68" t="str">
        <x:v>20</x:v>
      </x:c>
      <x:c r="H22" s="68" t="str">
        <x:v>oficial</x:v>
      </x:c>
      <x:c r="I22" s="68" t="str">
        <x:v>league</x:v>
      </x:c>
      <x:c r="J22" s="68" t="str">
        <x:v>Liga · 20 participantes · 19 jornadas · solo ida</x:v>
      </x:c>
      <x:c r="K22" s="68" t="str">
        <x:v>4</x:v>
      </x:c>
      <x:c r="L22" s="68" t="str">
        <x:v>2</x:v>
      </x:c>
      <x:c r="M22" s="68" t="str">
        <x:v>1</x:v>
      </x:c>
      <x:c r="N22" s="68" t="str">
        <x:v>SOLO_IDA</x:v>
      </x:c>
      <x:c r="O22" s="68" t="str">
        <x:v>Veinte participantes compiten en una sola vuelta durante 19 jornadas. Cada rival se enfrenta una sola vez y el primer lugar se corona campeón.</x:v>
      </x:c>
      <x:c r="P22" s="68" t="str">
        <x:v>21</x:v>
      </x:c>
      <x:c r="Q22" s="68" t="str">
        <x:v>SI</x:v>
      </x:c>
      <x:c r="R22" s="68" t="str">
        <x:v>COMPARTIDAS/laliga.avif</x:v>
      </x:c>
      <x:c r="S22" s="68" t="str">
        <x:v>COMPARTIDAS/laliga.avif</x:v>
      </x:c>
      <x:c r="T22" s="68" t="str"/>
      <x:c r="U22" s="68" t="str"/>
      <x:c r="V22" s="68" t="str"/>
      <x:c r="W22" s="68" t="str"/>
      <x:c r="X22" s="68" t="str">
        <x:v>COMPARTIDAS</x:v>
      </x:c>
    </x:row>
    <x:row r="23">
      <x:c r="A23" s="68" t="str">
        <x:v>ef-official-bundesliga</x:v>
      </x:c>
      <x:c r="B23" s="68" t="str">
        <x:v>efootball</x:v>
      </x:c>
      <x:c r="C23" s="68" t="str">
        <x:v>Bundesliga · eFootball</x:v>
      </x:c>
      <x:c r="D23" s="68" t="str">
        <x:v>Liga</x:v>
      </x:c>
      <x:c r="E23" s="68" t="str">
        <x:v>assets/cups/official/bundesliga.png</x:v>
      </x:c>
      <x:c r="F23" s="68" t="str">
        <x:v>assets/cups/official/bundesliga.png</x:v>
      </x:c>
      <x:c r="G23" s="68" t="str">
        <x:v>18</x:v>
      </x:c>
      <x:c r="H23" s="68" t="str">
        <x:v>oficial</x:v>
      </x:c>
      <x:c r="I23" s="68" t="str">
        <x:v>league</x:v>
      </x:c>
      <x:c r="J23" s="68" t="str">
        <x:v>Liga · 18 participantes · 17 jornadas · solo ida</x:v>
      </x:c>
      <x:c r="K23" s="68" t="str">
        <x:v>4</x:v>
      </x:c>
      <x:c r="L23" s="68" t="str">
        <x:v>2</x:v>
      </x:c>
      <x:c r="M23" s="68" t="str">
        <x:v>1</x:v>
      </x:c>
      <x:c r="N23" s="68" t="str">
        <x:v>SOLO_IDA</x:v>
      </x:c>
      <x:c r="O23" s="68" t="str">
        <x:v>Dieciocho participantes a una sola vuelta, con 17 jornadas y clasificación por puntos. Cada rival se enfrenta una sola vez.</x:v>
      </x:c>
      <x:c r="P23" s="68" t="str">
        <x:v>22</x:v>
      </x:c>
      <x:c r="Q23" s="68" t="str">
        <x:v>SI</x:v>
      </x:c>
      <x:c r="R23" s="68" t="str">
        <x:v>COMPARTIDAS/bundesliga.avif</x:v>
      </x:c>
      <x:c r="S23" s="68" t="str">
        <x:v>COMPARTIDAS/bundesliga.avif</x:v>
      </x:c>
      <x:c r="T23" s="68" t="str"/>
      <x:c r="U23" s="68" t="str"/>
      <x:c r="V23" s="68" t="str"/>
      <x:c r="W23" s="68" t="str"/>
      <x:c r="X23" s="68" t="str">
        <x:v>COMPARTIDAS</x:v>
      </x:c>
    </x:row>
    <x:row r="24">
      <x:c r="A24" s="68" t="str">
        <x:v>ef-official-serie-a</x:v>
      </x:c>
      <x:c r="B24" s="68" t="str">
        <x:v>efootball</x:v>
      </x:c>
      <x:c r="C24" s="68" t="str">
        <x:v>Serie A · eFootball</x:v>
      </x:c>
      <x:c r="D24" s="68" t="str">
        <x:v>Liga</x:v>
      </x:c>
      <x:c r="E24" s="68" t="str">
        <x:v>assets/cups/official/serie-a.png</x:v>
      </x:c>
      <x:c r="F24" s="68" t="str">
        <x:v>assets/cups/official/serie-a.png</x:v>
      </x:c>
      <x:c r="G24" s="68" t="str">
        <x:v>20</x:v>
      </x:c>
      <x:c r="H24" s="68" t="str">
        <x:v>oficial</x:v>
      </x:c>
      <x:c r="I24" s="68" t="str">
        <x:v>league</x:v>
      </x:c>
      <x:c r="J24" s="68" t="str">
        <x:v>Liga · 20 participantes · 19 jornadas · solo ida</x:v>
      </x:c>
      <x:c r="K24" s="68" t="str">
        <x:v>4</x:v>
      </x:c>
      <x:c r="L24" s="68" t="str">
        <x:v>2</x:v>
      </x:c>
      <x:c r="M24" s="68" t="str">
        <x:v>1</x:v>
      </x:c>
      <x:c r="N24" s="68" t="str">
        <x:v>SOLO_IDA</x:v>
      </x:c>
      <x:c r="O24" s="68" t="str">
        <x:v>Veinte participantes disputan 19 jornadas a una sola vuelta; cada rival se enfrenta una sola vez y la clasificación final se determina por puntos.</x:v>
      </x:c>
      <x:c r="P24" s="68" t="str">
        <x:v>23</x:v>
      </x:c>
      <x:c r="Q24" s="68" t="str">
        <x:v>SI</x:v>
      </x:c>
      <x:c r="R24" s="68" t="str">
        <x:v>COMPARTIDAS/serie-a.avif</x:v>
      </x:c>
      <x:c r="S24" s="68" t="str">
        <x:v>COMPARTIDAS/serie-a.avif</x:v>
      </x:c>
      <x:c r="T24" s="68" t="str"/>
      <x:c r="U24" s="68" t="str"/>
      <x:c r="V24" s="68" t="str"/>
      <x:c r="W24" s="68" t="str"/>
      <x:c r="X24" s="68" t="str">
        <x:v>COMPARTIDAS</x:v>
      </x:c>
    </x:row>
    <x:row r="25">
      <x:c r="A25" s="68" t="str">
        <x:v>ef-official-liga-1-peru</x:v>
      </x:c>
      <x:c r="B25" s="68" t="str">
        <x:v>efootball</x:v>
      </x:c>
      <x:c r="C25" s="68" t="str">
        <x:v>Liga 1 Perú · eFootball</x:v>
      </x:c>
      <x:c r="D25" s="68" t="str">
        <x:v>Liga</x:v>
      </x:c>
      <x:c r="E25" s="68" t="str">
        <x:v>assets/cups/official/liga-1-peru.png</x:v>
      </x:c>
      <x:c r="F25" s="68" t="str">
        <x:v>assets/cups/official/liga-1-peru.png</x:v>
      </x:c>
      <x:c r="G25" s="68" t="str">
        <x:v>18</x:v>
      </x:c>
      <x:c r="H25" s="68" t="str">
        <x:v>oficial</x:v>
      </x:c>
      <x:c r="I25" s="68" t="str">
        <x:v>league_playoffs</x:v>
      </x:c>
      <x:c r="J25" s="68" t="str">
        <x:v>Liga · 18 participantes · 17 jornadas → Top 4 → Play-offs</x:v>
      </x:c>
      <x:c r="K25" s="68" t="str">
        <x:v>4</x:v>
      </x:c>
      <x:c r="L25" s="68" t="str">
        <x:v>2</x:v>
      </x:c>
      <x:c r="M25" s="68" t="str">
        <x:v>1</x:v>
      </x:c>
      <x:c r="N25" s="68" t="str">
        <x:v>SOLO_IDA</x:v>
      </x:c>
      <x:c r="O25" s="68" t="str">
        <x:v>Liga de 18 participantes a una sola vuelta: 17 jornadas, cada rival se enfrenta una sola vez y los cuatro mejores avanzan a los play-offs por el título.</x:v>
      </x:c>
      <x:c r="P25" s="68" t="str">
        <x:v>24</x:v>
      </x:c>
      <x:c r="Q25" s="68" t="str">
        <x:v>SI</x:v>
      </x:c>
      <x:c r="R25" s="68" t="str">
        <x:v>COMPARTIDAS/liga-1-peru.avif</x:v>
      </x:c>
      <x:c r="S25" s="68" t="str">
        <x:v>COMPARTIDAS/liga-1-peru.avif</x:v>
      </x:c>
      <x:c r="T25" s="68" t="str"/>
      <x:c r="U25" s="68" t="str"/>
      <x:c r="V25" s="68" t="str"/>
      <x:c r="W25" s="68" t="str"/>
      <x:c r="X25" s="68" t="str">
        <x:v>COMPARTIDAS</x:v>
      </x:c>
    </x:row>
    <x:row r="26">
      <x:c r="A26" s="68" t="str">
        <x:v>ef-official-copa-del-rey</x:v>
      </x:c>
      <x:c r="B26" s="68" t="str">
        <x:v>efootball</x:v>
      </x:c>
      <x:c r="C26" s="68" t="str">
        <x:v>Copa del Rey · eFootball</x:v>
      </x:c>
      <x:c r="D26" s="68" t="str">
        <x:v>Copa</x:v>
      </x:c>
      <x:c r="E26" s="68" t="str">
        <x:v>assets/cups/official/copa-del-rey.png</x:v>
      </x:c>
      <x:c r="F26" s="68" t="str">
        <x:v>assets/cups/official/copa-del-rey.png</x:v>
      </x:c>
      <x:c r="G26" s="68" t="str">
        <x:v>64</x:v>
      </x:c>
      <x:c r="H26" s="68" t="str">
        <x:v>oficial</x:v>
      </x:c>
      <x:c r="I26" s="68" t="str">
        <x:v>copa_rey</x:v>
      </x:c>
      <x:c r="J26" s="68" t="str">
        <x:v>64 participantes · eliminación directa a partido único → Final</x:v>
      </x:c>
      <x:c r="K26" s="68" t="str">
        <x:v>4</x:v>
      </x:c>
      <x:c r="L26" s="68" t="str">
        <x:v>2</x:v>
      </x:c>
      <x:c r="M26" s="68" t="str">
        <x:v>1</x:v>
      </x:c>
      <x:c r="N26" s="68" t="str">
        <x:v>SOLO_IDA</x:v>
      </x:c>
      <x:c r="O26" s="68" t="str">
        <x:v>Sesenta y cuatro participantes en un cuadro de eliminación directa. Todas las rondas se disputan a partido único hasta la final.</x:v>
      </x:c>
      <x:c r="P26" s="68" t="str">
        <x:v>25</x:v>
      </x:c>
      <x:c r="Q26" s="68" t="str">
        <x:v>SI</x:v>
      </x:c>
      <x:c r="R26" s="68" t="str">
        <x:v>COMPARTIDAS/copa-del-rey.avif</x:v>
      </x:c>
      <x:c r="S26" s="68" t="str">
        <x:v>COMPARTIDAS/copa-del-rey.avif</x:v>
      </x:c>
      <x:c r="T26" s="68" t="str"/>
      <x:c r="U26" s="68" t="str"/>
      <x:c r="V26" s="68" t="str"/>
      <x:c r="W26" s="68" t="str"/>
      <x:c r="X26" s="68" t="str">
        <x:v>COMPARTIDAS</x:v>
      </x:c>
    </x:row>
    <x:row r="27">
      <x:c r="A27" s="68" t="str">
        <x:v>ef-official-dfb-pokal</x:v>
      </x:c>
      <x:c r="B27" s="68" t="str">
        <x:v>efootball</x:v>
      </x:c>
      <x:c r="C27" s="68" t="str">
        <x:v>Copa Alemana · DFB-Pokal · eFootball</x:v>
      </x:c>
      <x:c r="D27" s="68" t="str">
        <x:v>Copa</x:v>
      </x:c>
      <x:c r="E27" s="68" t="str">
        <x:v>assets/cups/official/dfb-pokal.png</x:v>
      </x:c>
      <x:c r="F27" s="68" t="str">
        <x:v>assets/cups/official/dfb-pokal.png</x:v>
      </x:c>
      <x:c r="G27" s="68" t="str">
        <x:v>64</x:v>
      </x:c>
      <x:c r="H27" s="68" t="str">
        <x:v>oficial</x:v>
      </x:c>
      <x:c r="I27" s="68" t="str">
        <x:v>knockout</x:v>
      </x:c>
      <x:c r="J27" s="68" t="str">
        <x:v>64 participantes · eliminación directa a partido único → Final</x:v>
      </x:c>
      <x:c r="K27" s="68" t="str">
        <x:v>4</x:v>
      </x:c>
      <x:c r="L27" s="68" t="str">
        <x:v>2</x:v>
      </x:c>
      <x:c r="M27" s="68" t="str">
        <x:v>1</x:v>
      </x:c>
      <x:c r="N27" s="68" t="str">
        <x:v>SOLO_IDA</x:v>
      </x:c>
      <x:c r="O27" s="68" t="str">
        <x:v>Sesenta y cuatro participantes en eliminación directa a partido único desde la primera ronda hasta la final.</x:v>
      </x:c>
      <x:c r="P27" s="68" t="str">
        <x:v>26</x:v>
      </x:c>
      <x:c r="Q27" s="68" t="str">
        <x:v>SI</x:v>
      </x:c>
      <x:c r="R27" s="68" t="str">
        <x:v>COMPARTIDAS/dfb-pokal.avif</x:v>
      </x:c>
      <x:c r="S27" s="68" t="str">
        <x:v>COMPARTIDAS/dfb-pokal.avif</x:v>
      </x:c>
      <x:c r="T27" s="68" t="str"/>
      <x:c r="U27" s="68" t="str"/>
      <x:c r="V27" s="68" t="str"/>
      <x:c r="W27" s="68" t="str"/>
      <x:c r="X27" s="68" t="str">
        <x:v>COMPARTIDAS</x:v>
      </x:c>
    </x:row>
    <x:row r="28">
      <x:c r="A28" s="68" t="str">
        <x:v>fcm-comp-01</x:v>
      </x:c>
      <x:c r="B28" s="68" t="str">
        <x:v>fc-mobile</x:v>
      </x:c>
      <x:c r="C28" s="68" t="str">
        <x:v>FC Mobile Cup Pro</x:v>
      </x:c>
      <x:c r="D28" s="68" t="str">
        <x:v>FC Mobile · Copa rápida</x:v>
      </x:c>
      <x:c r="E28" s="68" t="str">
        <x:v>assets/cups/fc-mobile/exclusivas/fc-mobile-cup-pro.png</x:v>
      </x:c>
      <x:c r="F28" s="68" t="str">
        <x:v>assets/cups/fc-mobile/exclusivas/fc-mobile-cup-pro.png</x:v>
      </x:c>
      <x:c r="G28" s="68" t="str">
        <x:v>8</x:v>
      </x:c>
      <x:c r="H28" s="68" t="str">
        <x:v>relampago</x:v>
      </x:c>
      <x:c r="I28" s="68" t="str">
        <x:v>knockout</x:v>
      </x:c>
      <x:c r="J28" s="68" t="str">
        <x:v>Cuartos → Semifinal → Final · partido único</x:v>
      </x:c>
      <x:c r="K28" s="68" t="str">
        <x:v>4</x:v>
      </x:c>
      <x:c r="L28" s="68" t="str">
        <x:v>2</x:v>
      </x:c>
      <x:c r="M28" s="68" t="str">
        <x:v>1</x:v>
      </x:c>
      <x:c r="N28" s="68" t="str">
        <x:v>SOLO_IDA</x:v>
      </x:c>
      <x:c r="O28" s="68" t="str">
        <x:v>Copa rápida de FC Mobile para ocho participantes, eliminación directa y partido único.</x:v>
      </x:c>
      <x:c r="P28" s="68" t="str">
        <x:v>1</x:v>
      </x:c>
      <x:c r="Q28" s="68" t="str">
        <x:v>SI</x:v>
      </x:c>
      <x:c r="R28" s="68" t="str">
        <x:v>FC-MOBILE/PORTADAS/fc-mobile-cup-pro.avif</x:v>
      </x:c>
      <x:c r="S28" s="68" t="str">
        <x:v>FC-MOBILE/PORTADAS/fc-mobile-cup-pro.avif</x:v>
      </x:c>
      <x:c r="T28" s="68" t="str"/>
      <x:c r="U28" s="68" t="str"/>
      <x:c r="V28" s="68" t="str"/>
      <x:c r="W28" s="68" t="str"/>
      <x:c r="X28" s="68" t="str">
        <x:v>FC-MOBILE</x:v>
      </x:c>
    </x:row>
    <x:row r="29">
      <x:c r="A29" s="68" t="str">
        <x:v>fcm-comp-02</x:v>
      </x:c>
      <x:c r="B29" s="68" t="str">
        <x:v>fc-mobile</x:v>
      </x:c>
      <x:c r="C29" s="68" t="str">
        <x:v>FC Mobile Cup Elite</x:v>
      </x:c>
      <x:c r="D29" s="68" t="str">
        <x:v>FC Mobile · Copa rápida</x:v>
      </x:c>
      <x:c r="E29" s="68" t="str">
        <x:v>assets/cups/fc-mobile/exclusivas/fc-mobile-cup-elite.png</x:v>
      </x:c>
      <x:c r="F29" s="68" t="str">
        <x:v>assets/cups/fc-mobile/exclusivas/fc-mobile-cup-elite.png</x:v>
      </x:c>
      <x:c r="G29" s="68" t="str">
        <x:v>16</x:v>
      </x:c>
      <x:c r="H29" s="68" t="str">
        <x:v>relampago</x:v>
      </x:c>
      <x:c r="I29" s="68" t="str">
        <x:v>knockout</x:v>
      </x:c>
      <x:c r="J29" s="68" t="str">
        <x:v>Octavos → Cuartos → Semifinal → Final · partido único</x:v>
      </x:c>
      <x:c r="K29" s="68" t="str">
        <x:v>4</x:v>
      </x:c>
      <x:c r="L29" s="68" t="str">
        <x:v>2</x:v>
      </x:c>
      <x:c r="M29" s="68" t="str">
        <x:v>1</x:v>
      </x:c>
      <x:c r="N29" s="68" t="str">
        <x:v>SOLO_IDA</x:v>
      </x:c>
      <x:c r="O29" s="68" t="str">
        <x:v>Copa rápida de FC Mobile para dieciséis participantes, eliminación directa y partido único.</x:v>
      </x:c>
      <x:c r="P29" s="68" t="str">
        <x:v>2</x:v>
      </x:c>
      <x:c r="Q29" s="68" t="str">
        <x:v>SI</x:v>
      </x:c>
      <x:c r="R29" s="68" t="str">
        <x:v>FC-MOBILE/PORTADAS/fc-mobile-cup-elite.avif</x:v>
      </x:c>
      <x:c r="S29" s="68" t="str">
        <x:v>FC-MOBILE/PORTADAS/fc-mobile-cup-elite.avif</x:v>
      </x:c>
      <x:c r="T29" s="68" t="str"/>
      <x:c r="U29" s="68" t="str"/>
      <x:c r="V29" s="68" t="str"/>
      <x:c r="W29" s="68" t="str"/>
      <x:c r="X29" s="68" t="str">
        <x:v>FC-MOBILE</x:v>
      </x:c>
    </x:row>
    <x:row r="30">
      <x:c r="A30" s="68" t="str">
        <x:v>fcm-comp-07</x:v>
      </x:c>
      <x:c r="B30" s="68" t="str">
        <x:v>fc-mobile</x:v>
      </x:c>
      <x:c r="C30" s="68" t="str">
        <x:v>Liga GMAC</x:v>
      </x:c>
      <x:c r="D30" s="68" t="str">
        <x:v>Liga</x:v>
      </x:c>
      <x:c r="E30" s="68" t="str">
        <x:v>assets/cups/fc-mobile/portadas/gmac-7.png</x:v>
      </x:c>
      <x:c r="F30" s="68" t="str">
        <x:v>assets/cups/fc-mobile/fixture/gmac-7-minimalista.png</x:v>
      </x:c>
      <x:c r="G30" s="68" t="str">
        <x:v>16</x:v>
      </x:c>
      <x:c r="H30" s="68" t="str">
        <x:v>16</x:v>
      </x:c>
      <x:c r="I30" s="68" t="str">
        <x:v>league</x:v>
      </x:c>
      <x:c r="J30" s="68" t="str">
        <x:v>Liga · 15 jornadas · todos contra todos</x:v>
      </x:c>
      <x:c r="K30" s="68" t="str">
        <x:v>4</x:v>
      </x:c>
      <x:c r="L30" s="68" t="str">
        <x:v>2</x:v>
      </x:c>
      <x:c r="M30" s="68" t="str">
        <x:v>1</x:v>
      </x:c>
      <x:c r="N30" s="68" t="str">
        <x:v>SOLO_IDA</x:v>
      </x:c>
      <x:c r="O30" s="68" t="str">
        <x:v>16 participantes en una liga todos contra todos. Cada jugador disputa 15 partidos y la tabla se ordena por puntos.</x:v>
      </x:c>
      <x:c r="P30" s="68" t="str">
        <x:v>3</x:v>
      </x:c>
      <x:c r="Q30" s="68" t="str">
        <x:v>SI</x:v>
      </x:c>
      <x:c r="R30" s="68" t="str">
        <x:v>FC-MOBILE/PORTADAS/gmac-7.avif</x:v>
      </x:c>
      <x:c r="S30" s="68" t="str">
        <x:v>FC-MOBILE/FIXTURE/gmac-7-minimalista.avif</x:v>
      </x:c>
      <x:c r="T30" s="68" t="str"/>
      <x:c r="U30" s="68" t="str"/>
      <x:c r="V30" s="68" t="str"/>
      <x:c r="W30" s="68" t="str"/>
      <x:c r="X30" s="68" t="str">
        <x:v>FC-MOBILE</x:v>
      </x:c>
    </x:row>
    <x:row r="31">
      <x:c r="A31" s="68" t="str">
        <x:v>fcm-comp-08</x:v>
      </x:c>
      <x:c r="B31" s="68" t="str">
        <x:v>fc-mobile</x:v>
      </x:c>
      <x:c r="C31" s="68" t="str">
        <x:v>Copa Grupos</x:v>
      </x:c>
      <x:c r="D31" s="68" t="str">
        <x:v>Competición FC Mobile</x:v>
      </x:c>
      <x:c r="E31" s="68" t="str">
        <x:v>assets/cups/fc-mobile/portadas/gmac-8.png</x:v>
      </x:c>
      <x:c r="F31" s="68" t="str">
        <x:v>assets/cups/fc-mobile/fixture/gmac-8-minimalista.png</x:v>
      </x:c>
      <x:c r="G31" s="68" t="str">
        <x:v>16</x:v>
      </x:c>
      <x:c r="H31" s="68" t="str">
        <x:v>16</x:v>
      </x:c>
      <x:c r="I31" s="68" t="str">
        <x:v>groups</x:v>
      </x:c>
      <x:c r="J31" s="68" t="str">
        <x:v>4 grupos + eliminatorias</x:v>
      </x:c>
      <x:c r="K31" s="68" t="str">
        <x:v>4</x:v>
      </x:c>
      <x:c r="L31" s="68" t="str">
        <x:v>2</x:v>
      </x:c>
      <x:c r="M31" s="68" t="str">
        <x:v>1</x:v>
      </x:c>
      <x:c r="N31" s="68" t="str">
        <x:v>SOLO_IDA</x:v>
      </x:c>
      <x:c r="O31" s="68" t="str">
        <x:v>Cuatro grupos de cuatro jugadores y una fase final para los mejores clasificados.</x:v>
      </x:c>
      <x:c r="P31" s="68" t="str">
        <x:v>4</x:v>
      </x:c>
      <x:c r="Q31" s="68" t="str">
        <x:v>SI</x:v>
      </x:c>
      <x:c r="R31" s="68" t="str">
        <x:v>FC-MOBILE/PORTADAS/gmac-8.avif</x:v>
      </x:c>
      <x:c r="S31" s="68" t="str">
        <x:v>FC-MOBILE/FIXTURE/gmac-8-minimalista.avif</x:v>
      </x:c>
      <x:c r="T31" s="68" t="str"/>
      <x:c r="U31" s="68" t="str"/>
      <x:c r="V31" s="68" t="str"/>
      <x:c r="W31" s="68" t="str"/>
      <x:c r="X31" s="68" t="str">
        <x:v>FC-MOBILE</x:v>
      </x:c>
    </x:row>
    <x:row r="32">
      <x:c r="A32" s="68" t="str">
        <x:v>fcm-comp-09</x:v>
      </x:c>
      <x:c r="B32" s="68" t="str">
        <x:v>fc-mobile</x:v>
      </x:c>
      <x:c r="C32" s="68" t="str">
        <x:v>GMAC Champions</x:v>
      </x:c>
      <x:c r="D32" s="68" t="str">
        <x:v>Especial</x:v>
      </x:c>
      <x:c r="E32" s="68" t="str">
        <x:v>assets/cups/fc-mobile/portadas/gmac-9.png</x:v>
      </x:c>
      <x:c r="F32" s="68" t="str">
        <x:v>assets/cups/fc-mobile/fixture/gmac-9-minimalista.png</x:v>
      </x:c>
      <x:c r="G32" s="68" t="str">
        <x:v>32</x:v>
      </x:c>
      <x:c r="H32" s="68" t="str">
        <x:v>32</x:v>
      </x:c>
      <x:c r="I32" s="68" t="str">
        <x:v>groups</x:v>
      </x:c>
      <x:c r="J32" s="68" t="str">
        <x:v>8 grupos de 4 → Octavos → Final</x:v>
      </x:c>
      <x:c r="K32" s="68" t="str">
        <x:v>4</x:v>
      </x:c>
      <x:c r="L32" s="68" t="str">
        <x:v>2</x:v>
      </x:c>
      <x:c r="M32" s="68" t="str">
        <x:v>1</x:v>
      </x:c>
      <x:c r="N32" s="68" t="str">
        <x:v>SOLO_IDA</x:v>
      </x:c>
      <x:c r="O32" s="68" t="str">
        <x:v>Edición grande con fase inicial y rondas decisivas.</x:v>
      </x:c>
      <x:c r="P32" s="68" t="str">
        <x:v>5</x:v>
      </x:c>
      <x:c r="Q32" s="68" t="str">
        <x:v>SI</x:v>
      </x:c>
      <x:c r="R32" s="68" t="str">
        <x:v>FC-MOBILE/PORTADAS/gmac-9.avif</x:v>
      </x:c>
      <x:c r="S32" s="68" t="str">
        <x:v>FC-MOBILE/FIXTURE/gmac-9-minimalista.avif</x:v>
      </x:c>
      <x:c r="T32" s="68" t="str"/>
      <x:c r="U32" s="68" t="str"/>
      <x:c r="V32" s="68" t="str"/>
      <x:c r="W32" s="68" t="str"/>
      <x:c r="X32" s="68" t="str">
        <x:v>FC-MOBILE</x:v>
      </x:c>
    </x:row>
    <x:row r="33">
      <x:c r="A33" s="68" t="str">
        <x:v>fcm-comp-10</x:v>
      </x:c>
      <x:c r="B33" s="68" t="str">
        <x:v>fc-mobile</x:v>
      </x:c>
      <x:c r="C33" s="68" t="str">
        <x:v>Rookie Cup</x:v>
      </x:c>
      <x:c r="D33" s="68" t="str">
        <x:v>Competición FC Mobile</x:v>
      </x:c>
      <x:c r="E33" s="68" t="str">
        <x:v>assets/cups/fc-mobile/portadas/gmac-10.png</x:v>
      </x:c>
      <x:c r="F33" s="68" t="str">
        <x:v>assets/cups/fc-mobile/fixture/gmac-10-minimalista.png</x:v>
      </x:c>
      <x:c r="G33" s="68" t="str">
        <x:v>16</x:v>
      </x:c>
      <x:c r="H33" s="68" t="str">
        <x:v>16</x:v>
      </x:c>
      <x:c r="I33" s="68" t="str">
        <x:v>knockout</x:v>
      </x:c>
      <x:c r="J33" s="68" t="str">
        <x:v>Eliminación directa</x:v>
      </x:c>
      <x:c r="K33" s="68" t="str">
        <x:v>4</x:v>
      </x:c>
      <x:c r="L33" s="68" t="str">
        <x:v>2</x:v>
      </x:c>
      <x:c r="M33" s="68" t="str">
        <x:v>1</x:v>
      </x:c>
      <x:c r="N33" s="68" t="str">
        <x:v>SOLO_IDA</x:v>
      </x:c>
      <x:c r="O33" s="68" t="str">
        <x:v>Una copa pensada para jugadores nuevos en los torneos de GMAC.</x:v>
      </x:c>
      <x:c r="P33" s="68" t="str">
        <x:v>6</x:v>
      </x:c>
      <x:c r="Q33" s="68" t="str">
        <x:v>SI</x:v>
      </x:c>
      <x:c r="R33" s="68" t="str">
        <x:v>FC-MOBILE/PORTADAS/gmac-10.avif</x:v>
      </x:c>
      <x:c r="S33" s="68" t="str">
        <x:v>FC-MOBILE/FIXTURE/gmac-10-minimalista.avif</x:v>
      </x:c>
      <x:c r="T33" s="68" t="str"/>
      <x:c r="U33" s="68" t="str"/>
      <x:c r="V33" s="68" t="str"/>
      <x:c r="W33" s="68" t="str"/>
      <x:c r="X33" s="68" t="str">
        <x:v>FC-MOBILE</x:v>
      </x:c>
    </x:row>
    <x:row r="34">
      <x:c r="A34" s="68" t="str">
        <x:v>fcm-comp-11</x:v>
      </x:c>
      <x:c r="B34" s="68" t="str">
        <x:v>fc-mobile</x:v>
      </x:c>
      <x:c r="C34" s="68" t="str">
        <x:v>Masters FC Mobile</x:v>
      </x:c>
      <x:c r="D34" s="68" t="str">
        <x:v>Especial</x:v>
      </x:c>
      <x:c r="E34" s="68" t="str">
        <x:v>assets/cups/fc-mobile/portadas/gmac-11.png</x:v>
      </x:c>
      <x:c r="F34" s="68" t="str">
        <x:v>assets/cups/fc-mobile/fixture/gmac-11-minimalista.png</x:v>
      </x:c>
      <x:c r="G34" s="68" t="str">
        <x:v>16</x:v>
      </x:c>
      <x:c r="H34" s="68" t="str">
        <x:v>16</x:v>
      </x:c>
      <x:c r="I34" s="68" t="str">
        <x:v>knockout</x:v>
      </x:c>
      <x:c r="J34" s="68" t="str">
        <x:v>Eliminación directa</x:v>
      </x:c>
      <x:c r="K34" s="68" t="str">
        <x:v>4</x:v>
      </x:c>
      <x:c r="L34" s="68" t="str">
        <x:v>2</x:v>
      </x:c>
      <x:c r="M34" s="68" t="str">
        <x:v>1</x:v>
      </x:c>
      <x:c r="N34" s="68" t="str">
        <x:v>SOLO_IDA</x:v>
      </x:c>
      <x:c r="O34" s="68" t="str">
        <x:v>Competencia de nivel alto para una edición con identidad más competitiva.</x:v>
      </x:c>
      <x:c r="P34" s="68" t="str">
        <x:v>7</x:v>
      </x:c>
      <x:c r="Q34" s="68" t="str">
        <x:v>SI</x:v>
      </x:c>
      <x:c r="R34" s="68" t="str">
        <x:v>FC-MOBILE/PORTADAS/gmac-11.avif</x:v>
      </x:c>
      <x:c r="S34" s="68" t="str">
        <x:v>FC-MOBILE/FIXTURE/gmac-11-minimalista.avif</x:v>
      </x:c>
      <x:c r="T34" s="68" t="str"/>
      <x:c r="U34" s="68" t="str"/>
      <x:c r="V34" s="68" t="str"/>
      <x:c r="W34" s="68" t="str"/>
      <x:c r="X34" s="68" t="str">
        <x:v>FC-MOBILE</x:v>
      </x:c>
    </x:row>
    <x:row r="35">
      <x:c r="A35" s="68" t="str">
        <x:v>fcm-comp-12</x:v>
      </x:c>
      <x:c r="B35" s="68" t="str">
        <x:v>fc-mobile</x:v>
      </x:c>
      <x:c r="C35" s="68" t="str">
        <x:v>Copa de Campeones</x:v>
      </x:c>
      <x:c r="D35" s="68" t="str">
        <x:v>Competición FC Mobile</x:v>
      </x:c>
      <x:c r="E35" s="68" t="str">
        <x:v>assets/cups/fc-mobile/portadas/gmac-12.png</x:v>
      </x:c>
      <x:c r="F35" s="68" t="str">
        <x:v>assets/cups/fc-mobile/fixture/gmac-12-minimalista.png</x:v>
      </x:c>
      <x:c r="G35" s="68" t="str">
        <x:v>8</x:v>
      </x:c>
      <x:c r="H35" s="68" t="str">
        <x:v>8</x:v>
      </x:c>
      <x:c r="I35" s="68" t="str">
        <x:v>knockout</x:v>
      </x:c>
      <x:c r="J35" s="68" t="str">
        <x:v>Cuartos → Final</x:v>
      </x:c>
      <x:c r="K35" s="68" t="str">
        <x:v>4</x:v>
      </x:c>
      <x:c r="L35" s="68" t="str">
        <x:v>2</x:v>
      </x:c>
      <x:c r="M35" s="68" t="str">
        <x:v>1</x:v>
      </x:c>
      <x:c r="N35" s="68" t="str">
        <x:v>SOLO_IDA</x:v>
      </x:c>
      <x:c r="O35" s="68" t="str">
        <x:v>Reservada para campeones, finalistas o clasificados de ediciones anteriores.</x:v>
      </x:c>
      <x:c r="P35" s="68" t="str">
        <x:v>8</x:v>
      </x:c>
      <x:c r="Q35" s="68" t="str">
        <x:v>SI</x:v>
      </x:c>
      <x:c r="R35" s="68" t="str">
        <x:v>FC-MOBILE/PORTADAS/gmac-12.avif</x:v>
      </x:c>
      <x:c r="S35" s="68" t="str">
        <x:v>FC-MOBILE/FIXTURE/gmac-12-minimalista.avif</x:v>
      </x:c>
      <x:c r="T35" s="68" t="str"/>
      <x:c r="U35" s="68" t="str"/>
      <x:c r="V35" s="68" t="str"/>
      <x:c r="W35" s="68" t="str"/>
      <x:c r="X35" s="68" t="str">
        <x:v>FC-MOBILE</x:v>
      </x:c>
    </x:row>
    <x:row r="36">
      <x:c r="A36" s="68" t="str">
        <x:v>fcm-comp-13</x:v>
      </x:c>
      <x:c r="B36" s="68" t="str">
        <x:v>fc-mobile</x:v>
      </x:c>
      <x:c r="C36" s="68" t="str">
        <x:v>Last Chance</x:v>
      </x:c>
      <x:c r="D36" s="68" t="str">
        <x:v>Competición FC Mobile</x:v>
      </x:c>
      <x:c r="E36" s="68" t="str">
        <x:v>assets/cups/fc-mobile/portadas/gmac-13.png</x:v>
      </x:c>
      <x:c r="F36" s="68" t="str">
        <x:v>assets/cups/fc-mobile/fixture/gmac-13-minimalista.png</x:v>
      </x:c>
      <x:c r="G36" s="68" t="str">
        <x:v>16</x:v>
      </x:c>
      <x:c r="H36" s="68" t="str">
        <x:v>16</x:v>
      </x:c>
      <x:c r="I36" s="68" t="str">
        <x:v>knockout</x:v>
      </x:c>
      <x:c r="J36" s="68" t="str">
        <x:v>Eliminación directa</x:v>
      </x:c>
      <x:c r="K36" s="68" t="str">
        <x:v>4</x:v>
      </x:c>
      <x:c r="L36" s="68" t="str">
        <x:v>2</x:v>
      </x:c>
      <x:c r="M36" s="68" t="str">
        <x:v>1</x:v>
      </x:c>
      <x:c r="N36" s="68" t="str">
        <x:v>SOLO_IDA</x:v>
      </x:c>
      <x:c r="O36" s="68" t="str">
        <x:v>Una última oportunidad para clasificar a una edición mayor o final de temporada.</x:v>
      </x:c>
      <x:c r="P36" s="68" t="str">
        <x:v>9</x:v>
      </x:c>
      <x:c r="Q36" s="68" t="str">
        <x:v>SI</x:v>
      </x:c>
      <x:c r="R36" s="68" t="str">
        <x:v>FC-MOBILE/PORTADAS/gmac-13.avif</x:v>
      </x:c>
      <x:c r="S36" s="68" t="str">
        <x:v>FC-MOBILE/FIXTURE/gmac-13-minimalista.avif</x:v>
      </x:c>
      <x:c r="T36" s="68" t="str"/>
      <x:c r="U36" s="68" t="str"/>
      <x:c r="V36" s="68" t="str"/>
      <x:c r="W36" s="68" t="str"/>
      <x:c r="X36" s="68" t="str">
        <x:v>FC-MOBILE</x:v>
      </x:c>
    </x:row>
    <x:row r="37">
      <x:c r="A37" s="68" t="str">
        <x:v>fcm-comp-14</x:v>
      </x:c>
      <x:c r="B37" s="68" t="str">
        <x:v>fc-mobile</x:v>
      </x:c>
      <x:c r="C37" s="68" t="str">
        <x:v>Nocturno</x:v>
      </x:c>
      <x:c r="D37" s="68" t="str">
        <x:v>Competición FC Mobile</x:v>
      </x:c>
      <x:c r="E37" s="68" t="str">
        <x:v>assets/cups/fc-mobile/portadas/gmac-14.png</x:v>
      </x:c>
      <x:c r="F37" s="68" t="str">
        <x:v>assets/cups/fc-mobile/fixture/gmac-14-minimalista.png</x:v>
      </x:c>
      <x:c r="G37" s="68" t="str">
        <x:v>16</x:v>
      </x:c>
      <x:c r="H37" s="68" t="str">
        <x:v>16</x:v>
      </x:c>
      <x:c r="I37" s="68" t="str">
        <x:v>knockout</x:v>
      </x:c>
      <x:c r="J37" s="68" t="str">
        <x:v>Eliminación directa</x:v>
      </x:c>
      <x:c r="K37" s="68" t="str">
        <x:v>4</x:v>
      </x:c>
      <x:c r="L37" s="68" t="str">
        <x:v>2</x:v>
      </x:c>
      <x:c r="M37" s="68" t="str">
        <x:v>1</x:v>
      </x:c>
      <x:c r="N37" s="68" t="str">
        <x:v>SOLO_IDA</x:v>
      </x:c>
      <x:c r="O37" s="68" t="str">
        <x:v>Cruces compactos en horario nocturno, ideal para una edición entre semana.</x:v>
      </x:c>
      <x:c r="P37" s="68" t="str">
        <x:v>10</x:v>
      </x:c>
      <x:c r="Q37" s="68" t="str">
        <x:v>SI</x:v>
      </x:c>
      <x:c r="R37" s="68" t="str">
        <x:v>FC-MOBILE/PORTADAS/gmac-14.avif</x:v>
      </x:c>
      <x:c r="S37" s="68" t="str">
        <x:v>FC-MOBILE/FIXTURE/gmac-14-minimalista.avif</x:v>
      </x:c>
      <x:c r="T37" s="68" t="str"/>
      <x:c r="U37" s="68" t="str"/>
      <x:c r="V37" s="68" t="str"/>
      <x:c r="W37" s="68" t="str"/>
      <x:c r="X37" s="68" t="str">
        <x:v>FC-MOBILE</x:v>
      </x:c>
    </x:row>
    <x:row r="38">
      <x:c r="A38" s="68" t="str">
        <x:v>fcm-comp-15</x:v>
      </x:c>
      <x:c r="B38" s="68" t="str">
        <x:v>fc-mobile</x:v>
      </x:c>
      <x:c r="C38" s="68" t="str">
        <x:v>Weekend Cup</x:v>
      </x:c>
      <x:c r="D38" s="68" t="str">
        <x:v>Competición FC Mobile</x:v>
      </x:c>
      <x:c r="E38" s="68" t="str">
        <x:v>assets/cups/fc-mobile/portadas/gmac-15.png</x:v>
      </x:c>
      <x:c r="F38" s="68" t="str">
        <x:v>assets/cups/fc-mobile/fixture/gmac-15-minimalista.png</x:v>
      </x:c>
      <x:c r="G38" s="68" t="str">
        <x:v>32</x:v>
      </x:c>
      <x:c r="H38" s="68" t="str">
        <x:v>32</x:v>
      </x:c>
      <x:c r="I38" s="68" t="str">
        <x:v>groups</x:v>
      </x:c>
      <x:c r="J38" s="68" t="str">
        <x:v>8 grupos de 4 → Octavos → Final</x:v>
      </x:c>
      <x:c r="K38" s="68" t="str">
        <x:v>4</x:v>
      </x:c>
      <x:c r="L38" s="68" t="str">
        <x:v>2</x:v>
      </x:c>
      <x:c r="M38" s="68" t="str">
        <x:v>1</x:v>
      </x:c>
      <x:c r="N38" s="68" t="str">
        <x:v>SOLO_IDA</x:v>
      </x:c>
      <x:c r="O38" s="68" t="str">
        <x:v>Ocho grupos de cuatro y fase eliminatoria para disputar por etapas durante un fin de semana.</x:v>
      </x:c>
      <x:c r="P38" s="68" t="str">
        <x:v>11</x:v>
      </x:c>
      <x:c r="Q38" s="68" t="str">
        <x:v>SI</x:v>
      </x:c>
      <x:c r="R38" s="68" t="str">
        <x:v>FC-MOBILE/PORTADAS/gmac-15.avif</x:v>
      </x:c>
      <x:c r="S38" s="68" t="str">
        <x:v>FC-MOBILE/FIXTURE/gmac-15-minimalista.avif</x:v>
      </x:c>
      <x:c r="T38" s="68" t="str"/>
      <x:c r="U38" s="68" t="str"/>
      <x:c r="V38" s="68" t="str"/>
      <x:c r="W38" s="68" t="str"/>
      <x:c r="X38" s="68" t="str">
        <x:v>FC-MOBILE</x:v>
      </x:c>
    </x:row>
    <x:row r="39">
      <x:c r="A39" s="68" t="str">
        <x:v>fcm-comp-16</x:v>
      </x:c>
      <x:c r="B39" s="68" t="str">
        <x:v>fc-mobile</x:v>
      </x:c>
      <x:c r="C39" s="68" t="str">
        <x:v>Noche de Revancha</x:v>
      </x:c>
      <x:c r="D39" s="68" t="str">
        <x:v>Competición FC Mobile</x:v>
      </x:c>
      <x:c r="E39" s="68" t="str">
        <x:v>assets/cups/fc-mobile/portadas/gmac-16.png</x:v>
      </x:c>
      <x:c r="F39" s="68" t="str">
        <x:v>assets/cups/fc-mobile/fixture/gmac-16-minimalista.png</x:v>
      </x:c>
      <x:c r="G39" s="68" t="str">
        <x:v>8</x:v>
      </x:c>
      <x:c r="H39" s="68" t="str">
        <x:v>8</x:v>
      </x:c>
      <x:c r="I39" s="68" t="str">
        <x:v>knockout</x:v>
      </x:c>
      <x:c r="J39" s="68" t="str">
        <x:v>Cuartos → Final</x:v>
      </x:c>
      <x:c r="K39" s="68" t="str">
        <x:v>4</x:v>
      </x:c>
      <x:c r="L39" s="68" t="str">
        <x:v>2</x:v>
      </x:c>
      <x:c r="M39" s="68" t="str">
        <x:v>1</x:v>
      </x:c>
      <x:c r="N39" s="68" t="str">
        <x:v>SOLO_IDA</x:v>
      </x:c>
      <x:c r="O39" s="68" t="str">
        <x:v>Una edición corta para volver a enfrentar rivales de torneos anteriores.</x:v>
      </x:c>
      <x:c r="P39" s="68" t="str">
        <x:v>12</x:v>
      </x:c>
      <x:c r="Q39" s="68" t="str">
        <x:v>SI</x:v>
      </x:c>
      <x:c r="R39" s="68" t="str">
        <x:v>FC-MOBILE/PORTADAS/gmac-16.avif</x:v>
      </x:c>
      <x:c r="S39" s="68" t="str">
        <x:v>FC-MOBILE/FIXTURE/gmac-16-minimalista.avif</x:v>
      </x:c>
      <x:c r="T39" s="68" t="str"/>
      <x:c r="U39" s="68" t="str"/>
      <x:c r="V39" s="68" t="str"/>
      <x:c r="W39" s="68" t="str"/>
      <x:c r="X39" s="68" t="str">
        <x:v>FC-MOBILE</x:v>
      </x:c>
    </x:row>
    <x:row r="40">
      <x:c r="A40" s="68" t="str">
        <x:v>fcm-comp-17</x:v>
      </x:c>
      <x:c r="B40" s="68" t="str">
        <x:v>fc-mobile</x:v>
      </x:c>
      <x:c r="C40" s="68" t="str">
        <x:v>Rey de GMAC</x:v>
      </x:c>
      <x:c r="D40" s="68" t="str">
        <x:v>Competición FC Mobile</x:v>
      </x:c>
      <x:c r="E40" s="68" t="str">
        <x:v>assets/cups/fc-mobile/portadas/gmac-17.png</x:v>
      </x:c>
      <x:c r="F40" s="68" t="str">
        <x:v>assets/cups/fc-mobile/fixture/gmac-17-minimalista.png</x:v>
      </x:c>
      <x:c r="G40" s="68" t="str">
        <x:v>16</x:v>
      </x:c>
      <x:c r="H40" s="68" t="str">
        <x:v>16</x:v>
      </x:c>
      <x:c r="I40" s="68" t="str">
        <x:v>knockout</x:v>
      </x:c>
      <x:c r="J40" s="68" t="str">
        <x:v>Eliminación directa</x:v>
      </x:c>
      <x:c r="K40" s="68" t="str">
        <x:v>4</x:v>
      </x:c>
      <x:c r="L40" s="68" t="str">
        <x:v>2</x:v>
      </x:c>
      <x:c r="M40" s="68" t="str">
        <x:v>1</x:v>
      </x:c>
      <x:c r="N40" s="68" t="str">
        <x:v>SOLO_IDA</x:v>
      </x:c>
      <x:c r="O40" s="68" t="str">
        <x:v>Un torneo temático de 16 jugadores para coronar al rey de la edición.</x:v>
      </x:c>
      <x:c r="P40" s="68" t="str">
        <x:v>13</x:v>
      </x:c>
      <x:c r="Q40" s="68" t="str">
        <x:v>SI</x:v>
      </x:c>
      <x:c r="R40" s="68" t="str">
        <x:v>FC-MOBILE/PORTADAS/gmac-17.avif</x:v>
      </x:c>
      <x:c r="S40" s="68" t="str">
        <x:v>FC-MOBILE/FIXTURE/gmac-17-minimalista.avif</x:v>
      </x:c>
      <x:c r="T40" s="68" t="str"/>
      <x:c r="U40" s="68" t="str"/>
      <x:c r="V40" s="68" t="str"/>
      <x:c r="W40" s="68" t="str"/>
      <x:c r="X40" s="68" t="str">
        <x:v>FC-MOBILE</x:v>
      </x:c>
    </x:row>
    <x:row r="41">
      <x:c r="A41" s="68" t="str">
        <x:v>fcm-comp-18</x:v>
      </x:c>
      <x:c r="B41" s="68" t="str">
        <x:v>fc-mobile</x:v>
      </x:c>
      <x:c r="C41" s="68" t="str">
        <x:v>Open FC Mobile</x:v>
      </x:c>
      <x:c r="D41" s="68" t="str">
        <x:v>Competición FC Mobile</x:v>
      </x:c>
      <x:c r="E41" s="68" t="str">
        <x:v>assets/cups/fc-mobile/portadas/gmac-18.png</x:v>
      </x:c>
      <x:c r="F41" s="68" t="str">
        <x:v>assets/cups/fc-mobile/fixture/gmac-18-minimalista.png</x:v>
      </x:c>
      <x:c r="G41" s="68" t="str">
        <x:v>32</x:v>
      </x:c>
      <x:c r="H41" s="68" t="str">
        <x:v>32</x:v>
      </x:c>
      <x:c r="I41" s="68" t="str">
        <x:v>groups</x:v>
      </x:c>
      <x:c r="J41" s="68" t="str">
        <x:v>8 grupos de 4 → Octavos → Final</x:v>
      </x:c>
      <x:c r="K41" s="68" t="str">
        <x:v>4</x:v>
      </x:c>
      <x:c r="L41" s="68" t="str">
        <x:v>2</x:v>
      </x:c>
      <x:c r="M41" s="68" t="str">
        <x:v>1</x:v>
      </x:c>
      <x:c r="N41" s="68" t="str">
        <x:v>SOLO_IDA</x:v>
      </x:c>
      <x:c r="O41" s="68" t="str">
        <x:v>Open de 32 jugadores: ocho grupos de cuatro y eliminatorias para definir al campeón.</x:v>
      </x:c>
      <x:c r="P41" s="68" t="str">
        <x:v>14</x:v>
      </x:c>
      <x:c r="Q41" s="68" t="str">
        <x:v>SI</x:v>
      </x:c>
      <x:c r="R41" s="68" t="str">
        <x:v>FC-MOBILE/PORTADAS/gmac-18.avif</x:v>
      </x:c>
      <x:c r="S41" s="68" t="str">
        <x:v>FC-MOBILE/FIXTURE/gmac-18-minimalista.avif</x:v>
      </x:c>
      <x:c r="T41" s="68" t="str"/>
      <x:c r="U41" s="68" t="str"/>
      <x:c r="V41" s="68" t="str"/>
      <x:c r="W41" s="68" t="str"/>
      <x:c r="X41" s="68" t="str">
        <x:v>FC-MOBILE</x:v>
      </x:c>
    </x:row>
    <x:row r="42">
      <x:c r="A42" s="68" t="str">
        <x:v>fcm-official-copa-del-mundo</x:v>
      </x:c>
      <x:c r="B42" s="68" t="str">
        <x:v>fc-mobile</x:v>
      </x:c>
      <x:c r="C42" s="68" t="str">
        <x:v>Copa del Mundo · FC Mobile</x:v>
      </x:c>
      <x:c r="D42" s="68" t="str">
        <x:v>Selecciones</x:v>
      </x:c>
      <x:c r="E42" s="68" t="str">
        <x:v>assets/cups/official/copa-del-mundo.png</x:v>
      </x:c>
      <x:c r="F42" s="68" t="str">
        <x:v>assets/cups/official/copa-del-mundo.png</x:v>
      </x:c>
      <x:c r="G42" s="68" t="str">
        <x:v>48</x:v>
      </x:c>
      <x:c r="H42" s="68" t="str">
        <x:v>oficial</x:v>
      </x:c>
      <x:c r="I42" s="68" t="str">
        <x:v>groups</x:v>
      </x:c>
      <x:c r="J42" s="68" t="str">
        <x:v>12 grupos de 4 → 2 primeros + 8 mejores terceros → Ronda de 32 → Final</x:v>
      </x:c>
      <x:c r="K42" s="68" t="str">
        <x:v>4</x:v>
      </x:c>
      <x:c r="L42" s="68" t="str">
        <x:v>2</x:v>
      </x:c>
      <x:c r="M42" s="68" t="str">
        <x:v>1</x:v>
      </x:c>
      <x:c r="N42" s="68" t="str">
        <x:v>SOLO_IDA</x:v>
      </x:c>
      <x:c r="O42" s="68" t="str">
        <x:v>Formato mundial de 48 participantes: doce grupos de cuatro, avanzan los dos primeros de cada grupo y los ocho mejores terceros; desde la Ronda de 32 se juega eliminación directa.</x:v>
      </x:c>
      <x:c r="P42" s="68" t="str">
        <x:v>15</x:v>
      </x:c>
      <x:c r="Q42" s="68" t="str">
        <x:v>SI</x:v>
      </x:c>
      <x:c r="R42" s="68" t="str">
        <x:v>COMPARTIDAS/copa-del-mundo.avif</x:v>
      </x:c>
      <x:c r="S42" s="68" t="str">
        <x:v>COMPARTIDAS/copa-del-mundo.avif</x:v>
      </x:c>
      <x:c r="T42" s="68" t="str"/>
      <x:c r="U42" s="68" t="str"/>
      <x:c r="V42" s="68" t="str"/>
      <x:c r="W42" s="68" t="str"/>
      <x:c r="X42" s="68" t="str">
        <x:v>COMPARTIDAS</x:v>
      </x:c>
    </x:row>
    <x:row r="43">
      <x:c r="A43" s="68" t="str">
        <x:v>fcm-official-uefa-champions-league</x:v>
      </x:c>
      <x:c r="B43" s="68" t="str">
        <x:v>fc-mobile</x:v>
      </x:c>
      <x:c r="C43" s="68" t="str">
        <x:v>UEFA Champions League · FC Mobile</x:v>
      </x:c>
      <x:c r="D43" s="68" t="str">
        <x:v>Clubes</x:v>
      </x:c>
      <x:c r="E43" s="68" t="str">
        <x:v>assets/cups/official/uefa-champions-league.png</x:v>
      </x:c>
      <x:c r="F43" s="68" t="str">
        <x:v>assets/cups/official/uefa-champions-league.png</x:v>
      </x:c>
      <x:c r="G43" s="68" t="str">
        <x:v>36</x:v>
      </x:c>
      <x:c r="H43" s="68" t="str">
        <x:v>oficial</x:v>
      </x:c>
      <x:c r="I43" s="68" t="str">
        <x:v>league_phase</x:v>
      </x:c>
      <x:c r="J43" s="68" t="str">
        <x:v>Fase liga de 36 · 8 partidos c/u → Top 8 a octavos · 9.º–24.º play-off → Final</x:v>
      </x:c>
      <x:c r="K43" s="68" t="str">
        <x:v>4</x:v>
      </x:c>
      <x:c r="L43" s="68" t="str">
        <x:v>2</x:v>
      </x:c>
      <x:c r="M43" s="68" t="str">
        <x:v>1</x:v>
      </x:c>
      <x:c r="N43" s="68" t="str">
        <x:v>SOLO_IDA</x:v>
      </x:c>
      <x:c r="O43" s="68" t="str">
        <x:v>Formato de fase liga: 36 participantes disputan ocho partidos ante rivales distintos; los ocho primeros avanzan a octavos y del 9.º al 24.º juegan un play-off previo.</x:v>
      </x:c>
      <x:c r="P43" s="68" t="str">
        <x:v>16</x:v>
      </x:c>
      <x:c r="Q43" s="68" t="str">
        <x:v>SI</x:v>
      </x:c>
      <x:c r="R43" s="68" t="str">
        <x:v>COMPARTIDAS/uefa-champions-league.avif</x:v>
      </x:c>
      <x:c r="S43" s="68" t="str">
        <x:v>COMPARTIDAS/uefa-champions-league.avif</x:v>
      </x:c>
      <x:c r="T43" s="68" t="str"/>
      <x:c r="U43" s="68" t="str"/>
      <x:c r="V43" s="68" t="str"/>
      <x:c r="W43" s="68" t="str"/>
      <x:c r="X43" s="68" t="str">
        <x:v>COMPARTIDAS</x:v>
      </x:c>
    </x:row>
    <x:row r="44">
      <x:c r="A44" s="68" t="str">
        <x:v>fcm-official-copa-libertadores</x:v>
      </x:c>
      <x:c r="B44" s="68" t="str">
        <x:v>fc-mobile</x:v>
      </x:c>
      <x:c r="C44" s="68" t="str">
        <x:v>Copa Libertadores · FC Mobile</x:v>
      </x:c>
      <x:c r="D44" s="68" t="str">
        <x:v>Clubes</x:v>
      </x:c>
      <x:c r="E44" s="68" t="str">
        <x:v>assets/cups/official/copa-libertadores.png</x:v>
      </x:c>
      <x:c r="F44" s="68" t="str">
        <x:v>assets/cups/official/copa-libertadores.png</x:v>
      </x:c>
      <x:c r="G44" s="68" t="str">
        <x:v>32</x:v>
      </x:c>
      <x:c r="H44" s="68" t="str">
        <x:v>oficial</x:v>
      </x:c>
      <x:c r="I44" s="68" t="str">
        <x:v>groups</x:v>
      </x:c>
      <x:c r="J44" s="68" t="str">
        <x:v>8 grupos de 4 · solo ida → Octavos → Final</x:v>
      </x:c>
      <x:c r="K44" s="68" t="str">
        <x:v>4</x:v>
      </x:c>
      <x:c r="L44" s="68" t="str">
        <x:v>2</x:v>
      </x:c>
      <x:c r="M44" s="68" t="str">
        <x:v>1</x:v>
      </x:c>
      <x:c r="N44" s="68" t="str">
        <x:v>SOLO_IDA</x:v>
      </x:c>
      <x:c r="O44" s="68" t="str">
        <x:v>Treinta y dos participantes en ocho grupos de cuatro, con un solo partido contra cada rival del grupo. Los dos primeros avanzan a octavos y continúan por eliminatorias a partido único.</x:v>
      </x:c>
      <x:c r="P44" s="68" t="str">
        <x:v>17</x:v>
      </x:c>
      <x:c r="Q44" s="68" t="str">
        <x:v>SI</x:v>
      </x:c>
      <x:c r="R44" s="68" t="str">
        <x:v>COMPARTIDAS/copa-libertadores.avif</x:v>
      </x:c>
      <x:c r="S44" s="68" t="str">
        <x:v>COMPARTIDAS/copa-libertadores.avif</x:v>
      </x:c>
      <x:c r="T44" s="68" t="str"/>
      <x:c r="U44" s="68" t="str"/>
      <x:c r="V44" s="68" t="str"/>
      <x:c r="W44" s="68" t="str"/>
      <x:c r="X44" s="68" t="str">
        <x:v>COMPARTIDAS</x:v>
      </x:c>
    </x:row>
    <x:row r="45">
      <x:c r="A45" s="68" t="str">
        <x:v>fcm-official-eurocopa</x:v>
      </x:c>
      <x:c r="B45" s="68" t="str">
        <x:v>fc-mobile</x:v>
      </x:c>
      <x:c r="C45" s="68" t="str">
        <x:v>Eurocopa · FC Mobile</x:v>
      </x:c>
      <x:c r="D45" s="68" t="str">
        <x:v>Selecciones</x:v>
      </x:c>
      <x:c r="E45" s="68" t="str">
        <x:v>assets/cups/official/eurocopa.png</x:v>
      </x:c>
      <x:c r="F45" s="68" t="str">
        <x:v>assets/cups/official/eurocopa.png</x:v>
      </x:c>
      <x:c r="G45" s="68" t="str">
        <x:v>24</x:v>
      </x:c>
      <x:c r="H45" s="68" t="str">
        <x:v>oficial</x:v>
      </x:c>
      <x:c r="I45" s="68" t="str">
        <x:v>groups</x:v>
      </x:c>
      <x:c r="J45" s="68" t="str">
        <x:v>6 grupos de 4 → 2 primeros + 4 mejores terceros → Octavos → Final</x:v>
      </x:c>
      <x:c r="K45" s="68" t="str">
        <x:v>4</x:v>
      </x:c>
      <x:c r="L45" s="68" t="str">
        <x:v>2</x:v>
      </x:c>
      <x:c r="M45" s="68" t="str">
        <x:v>1</x:v>
      </x:c>
      <x:c r="N45" s="68" t="str">
        <x:v>SOLO_IDA</x:v>
      </x:c>
      <x:c r="O45" s="68" t="str">
        <x:v>Veinticuatro participantes en seis grupos de cuatro; avanzan los dos primeros de cada grupo y los cuatro mejores terceros a octavos de final.</x:v>
      </x:c>
      <x:c r="P45" s="68" t="str">
        <x:v>18</x:v>
      </x:c>
      <x:c r="Q45" s="68" t="str">
        <x:v>SI</x:v>
      </x:c>
      <x:c r="R45" s="68" t="str">
        <x:v>COMPARTIDAS/eurocopa.avif</x:v>
      </x:c>
      <x:c r="S45" s="68" t="str">
        <x:v>COMPARTIDAS/eurocopa.avif</x:v>
      </x:c>
      <x:c r="T45" s="68" t="str"/>
      <x:c r="U45" s="68" t="str"/>
      <x:c r="V45" s="68" t="str"/>
      <x:c r="W45" s="68" t="str"/>
      <x:c r="X45" s="68" t="str">
        <x:v>COMPARTIDAS</x:v>
      </x:c>
    </x:row>
    <x:row r="46">
      <x:c r="A46" s="68" t="str">
        <x:v>fcm-official-copa-america</x:v>
      </x:c>
      <x:c r="B46" s="68" t="str">
        <x:v>fc-mobile</x:v>
      </x:c>
      <x:c r="C46" s="68" t="str">
        <x:v>Copa América · FC Mobile</x:v>
      </x:c>
      <x:c r="D46" s="68" t="str">
        <x:v>Selecciones</x:v>
      </x:c>
      <x:c r="E46" s="68" t="str">
        <x:v>assets/cups/official/copa-america.png</x:v>
      </x:c>
      <x:c r="F46" s="68" t="str">
        <x:v>assets/cups/official/copa-america.png</x:v>
      </x:c>
      <x:c r="G46" s="68" t="str">
        <x:v>16</x:v>
      </x:c>
      <x:c r="H46" s="68" t="str">
        <x:v>oficial</x:v>
      </x:c>
      <x:c r="I46" s="68" t="str">
        <x:v>groups</x:v>
      </x:c>
      <x:c r="J46" s="68" t="str">
        <x:v>4 grupos de 4 → Cuartos → Semifinal → Final</x:v>
      </x:c>
      <x:c r="K46" s="68" t="str">
        <x:v>4</x:v>
      </x:c>
      <x:c r="L46" s="68" t="str">
        <x:v>2</x:v>
      </x:c>
      <x:c r="M46" s="68" t="str">
        <x:v>1</x:v>
      </x:c>
      <x:c r="N46" s="68" t="str">
        <x:v>SOLO_IDA</x:v>
      </x:c>
      <x:c r="O46" s="68" t="str">
        <x:v>Dieciséis participantes repartidos en cuatro grupos de cuatro. Los dos primeros de cada grupo avanzan a cuartos de final.</x:v>
      </x:c>
      <x:c r="P46" s="68" t="str">
        <x:v>19</x:v>
      </x:c>
      <x:c r="Q46" s="68" t="str">
        <x:v>SI</x:v>
      </x:c>
      <x:c r="R46" s="68" t="str">
        <x:v>COMPARTIDAS/copa-america.avif</x:v>
      </x:c>
      <x:c r="S46" s="68" t="str">
        <x:v>COMPARTIDAS/copa-america.avif</x:v>
      </x:c>
      <x:c r="T46" s="68" t="str"/>
      <x:c r="U46" s="68" t="str"/>
      <x:c r="V46" s="68" t="str"/>
      <x:c r="W46" s="68" t="str"/>
      <x:c r="X46" s="68" t="str">
        <x:v>COMPARTIDAS</x:v>
      </x:c>
    </x:row>
    <x:row r="47">
      <x:c r="A47" s="68" t="str">
        <x:v>fcm-official-mundial-de-clubes</x:v>
      </x:c>
      <x:c r="B47" s="68" t="str">
        <x:v>fc-mobile</x:v>
      </x:c>
      <x:c r="C47" s="68" t="str">
        <x:v>Mundial de Clubes de la FIFA · FC Mobile</x:v>
      </x:c>
      <x:c r="D47" s="68" t="str">
        <x:v>Clubes</x:v>
      </x:c>
      <x:c r="E47" s="68" t="str">
        <x:v>assets/cups/official/mundial-de-clubes.png</x:v>
      </x:c>
      <x:c r="F47" s="68" t="str">
        <x:v>assets/cups/official/mundial-de-clubes.png</x:v>
      </x:c>
      <x:c r="G47" s="68" t="str">
        <x:v>32</x:v>
      </x:c>
      <x:c r="H47" s="68" t="str">
        <x:v>oficial</x:v>
      </x:c>
      <x:c r="I47" s="68" t="str">
        <x:v>groups</x:v>
      </x:c>
      <x:c r="J47" s="68" t="str">
        <x:v>8 grupos de 4 → Octavos → Cuartos → Semifinal → Final</x:v>
      </x:c>
      <x:c r="K47" s="68" t="str">
        <x:v>4</x:v>
      </x:c>
      <x:c r="L47" s="68" t="str">
        <x:v>2</x:v>
      </x:c>
      <x:c r="M47" s="68" t="str">
        <x:v>1</x:v>
      </x:c>
      <x:c r="N47" s="68" t="str">
        <x:v>SOLO_IDA</x:v>
      </x:c>
      <x:c r="O47" s="68" t="str">
        <x:v>Treinta y dos clubes en ocho grupos de cuatro a una sola vuelta. Los dos mejores de cada grupo avanzan a octavos y desde allí se juega a eliminación directa.</x:v>
      </x:c>
      <x:c r="P47" s="68" t="str">
        <x:v>20</x:v>
      </x:c>
      <x:c r="Q47" s="68" t="str">
        <x:v>SI</x:v>
      </x:c>
      <x:c r="R47" s="68" t="str">
        <x:v>COMPARTIDAS/mundial-de-clubes.avif</x:v>
      </x:c>
      <x:c r="S47" s="68" t="str">
        <x:v>COMPARTIDAS/mundial-de-clubes.avif</x:v>
      </x:c>
      <x:c r="T47" s="68" t="str"/>
      <x:c r="U47" s="68" t="str"/>
      <x:c r="V47" s="68" t="str"/>
      <x:c r="W47" s="68" t="str"/>
      <x:c r="X47" s="68" t="str">
        <x:v>COMPARTIDAS</x:v>
      </x:c>
    </x:row>
    <x:row r="48">
      <x:c r="A48" s="68" t="str">
        <x:v>fcm-official-premier-league</x:v>
      </x:c>
      <x:c r="B48" s="68" t="str">
        <x:v>fc-mobile</x:v>
      </x:c>
      <x:c r="C48" s="68" t="str">
        <x:v>Premier League · FC Mobile</x:v>
      </x:c>
      <x:c r="D48" s="68" t="str">
        <x:v>Liga</x:v>
      </x:c>
      <x:c r="E48" s="68" t="str">
        <x:v>assets/cups/official/premier-league.png</x:v>
      </x:c>
      <x:c r="F48" s="68" t="str">
        <x:v>assets/cups/official/premier-league.png</x:v>
      </x:c>
      <x:c r="G48" s="68" t="str">
        <x:v>20</x:v>
      </x:c>
      <x:c r="H48" s="68" t="str">
        <x:v>oficial</x:v>
      </x:c>
      <x:c r="I48" s="68" t="str">
        <x:v>league</x:v>
      </x:c>
      <x:c r="J48" s="68" t="str">
        <x:v>Liga · 20 participantes · 19 jornadas · solo ida</x:v>
      </x:c>
      <x:c r="K48" s="68" t="str">
        <x:v>4</x:v>
      </x:c>
      <x:c r="L48" s="68" t="str">
        <x:v>2</x:v>
      </x:c>
      <x:c r="M48" s="68" t="str">
        <x:v>1</x:v>
      </x:c>
      <x:c r="N48" s="68" t="str">
        <x:v>SOLO_IDA</x:v>
      </x:c>
      <x:c r="O48" s="68" t="str">
        <x:v>Liga de veinte participantes a una sola vuelta. Cada participante disputa 19 partidos y el campeón se define por la tabla de puntos.</x:v>
      </x:c>
      <x:c r="P48" s="68" t="str">
        <x:v>21</x:v>
      </x:c>
      <x:c r="Q48" s="68" t="str">
        <x:v>SI</x:v>
      </x:c>
      <x:c r="R48" s="68" t="str">
        <x:v>COMPARTIDAS/premier-league.avif</x:v>
      </x:c>
      <x:c r="S48" s="68" t="str">
        <x:v>COMPARTIDAS/premier-league.avif</x:v>
      </x:c>
      <x:c r="T48" s="68" t="str"/>
      <x:c r="U48" s="68" t="str"/>
      <x:c r="V48" s="68" t="str"/>
      <x:c r="W48" s="68" t="str"/>
      <x:c r="X48" s="68" t="str">
        <x:v>COMPARTIDAS</x:v>
      </x:c>
    </x:row>
    <x:row r="49">
      <x:c r="A49" s="68" t="str">
        <x:v>fcm-official-laliga</x:v>
      </x:c>
      <x:c r="B49" s="68" t="str">
        <x:v>fc-mobile</x:v>
      </x:c>
      <x:c r="C49" s="68" t="str">
        <x:v>LaLiga · FC Mobile</x:v>
      </x:c>
      <x:c r="D49" s="68" t="str">
        <x:v>Liga</x:v>
      </x:c>
      <x:c r="E49" s="68" t="str">
        <x:v>assets/cups/official/laliga.png</x:v>
      </x:c>
      <x:c r="F49" s="68" t="str">
        <x:v>assets/cups/official/laliga.png</x:v>
      </x:c>
      <x:c r="G49" s="68" t="str">
        <x:v>20</x:v>
      </x:c>
      <x:c r="H49" s="68" t="str">
        <x:v>oficial</x:v>
      </x:c>
      <x:c r="I49" s="68" t="str">
        <x:v>league</x:v>
      </x:c>
      <x:c r="J49" s="68" t="str">
        <x:v>Liga · 20 participantes · 19 jornadas · solo ida</x:v>
      </x:c>
      <x:c r="K49" s="68" t="str">
        <x:v>4</x:v>
      </x:c>
      <x:c r="L49" s="68" t="str">
        <x:v>2</x:v>
      </x:c>
      <x:c r="M49" s="68" t="str">
        <x:v>1</x:v>
      </x:c>
      <x:c r="N49" s="68" t="str">
        <x:v>SOLO_IDA</x:v>
      </x:c>
      <x:c r="O49" s="68" t="str">
        <x:v>Veinte participantes compiten en una sola vuelta durante 19 jornadas. Cada rival se enfrenta una sola vez y el primer lugar se corona campeón.</x:v>
      </x:c>
      <x:c r="P49" s="68" t="str">
        <x:v>22</x:v>
      </x:c>
      <x:c r="Q49" s="68" t="str">
        <x:v>SI</x:v>
      </x:c>
      <x:c r="R49" s="68" t="str">
        <x:v>COMPARTIDAS/laliga.avif</x:v>
      </x:c>
      <x:c r="S49" s="68" t="str">
        <x:v>COMPARTIDAS/laliga.avif</x:v>
      </x:c>
      <x:c r="T49" s="68" t="str"/>
      <x:c r="U49" s="68" t="str"/>
      <x:c r="V49" s="68" t="str"/>
      <x:c r="W49" s="68" t="str"/>
      <x:c r="X49" s="68" t="str">
        <x:v>COMPARTIDAS</x:v>
      </x:c>
    </x:row>
    <x:row r="50">
      <x:c r="A50" s="68" t="str">
        <x:v>fcm-official-bundesliga</x:v>
      </x:c>
      <x:c r="B50" s="68" t="str">
        <x:v>fc-mobile</x:v>
      </x:c>
      <x:c r="C50" s="68" t="str">
        <x:v>Bundesliga · FC Mobile</x:v>
      </x:c>
      <x:c r="D50" s="68" t="str">
        <x:v>Liga</x:v>
      </x:c>
      <x:c r="E50" s="68" t="str">
        <x:v>assets/cups/official/bundesliga.png</x:v>
      </x:c>
      <x:c r="F50" s="68" t="str">
        <x:v>assets/cups/official/bundesliga.png</x:v>
      </x:c>
      <x:c r="G50" s="68" t="str">
        <x:v>18</x:v>
      </x:c>
      <x:c r="H50" s="68" t="str">
        <x:v>oficial</x:v>
      </x:c>
      <x:c r="I50" s="68" t="str">
        <x:v>league</x:v>
      </x:c>
      <x:c r="J50" s="68" t="str">
        <x:v>Liga · 18 participantes · 17 jornadas · solo ida</x:v>
      </x:c>
      <x:c r="K50" s="68" t="str">
        <x:v>4</x:v>
      </x:c>
      <x:c r="L50" s="68" t="str">
        <x:v>2</x:v>
      </x:c>
      <x:c r="M50" s="68" t="str">
        <x:v>1</x:v>
      </x:c>
      <x:c r="N50" s="68" t="str">
        <x:v>SOLO_IDA</x:v>
      </x:c>
      <x:c r="O50" s="68" t="str">
        <x:v>Dieciocho participantes a una sola vuelta, con 17 jornadas y clasificación por puntos. Cada rival se enfrenta una sola vez.</x:v>
      </x:c>
      <x:c r="P50" s="68" t="str">
        <x:v>23</x:v>
      </x:c>
      <x:c r="Q50" s="68" t="str">
        <x:v>SI</x:v>
      </x:c>
      <x:c r="R50" s="68" t="str">
        <x:v>COMPARTIDAS/bundesliga.avif</x:v>
      </x:c>
      <x:c r="S50" s="68" t="str">
        <x:v>COMPARTIDAS/bundesliga.avif</x:v>
      </x:c>
      <x:c r="T50" s="68" t="str"/>
      <x:c r="U50" s="68" t="str"/>
      <x:c r="V50" s="68" t="str"/>
      <x:c r="W50" s="68" t="str"/>
      <x:c r="X50" s="68" t="str">
        <x:v>COMPARTIDAS</x:v>
      </x:c>
    </x:row>
    <x:row r="51">
      <x:c r="A51" s="68" t="str">
        <x:v>fcm-official-serie-a</x:v>
      </x:c>
      <x:c r="B51" s="68" t="str">
        <x:v>fc-mobile</x:v>
      </x:c>
      <x:c r="C51" s="68" t="str">
        <x:v>Serie A · FC Mobile</x:v>
      </x:c>
      <x:c r="D51" s="68" t="str">
        <x:v>Liga</x:v>
      </x:c>
      <x:c r="E51" s="68" t="str">
        <x:v>assets/cups/official/serie-a.png</x:v>
      </x:c>
      <x:c r="F51" s="68" t="str">
        <x:v>assets/cups/official/serie-a.png</x:v>
      </x:c>
      <x:c r="G51" s="68" t="str">
        <x:v>20</x:v>
      </x:c>
      <x:c r="H51" s="68" t="str">
        <x:v>oficial</x:v>
      </x:c>
      <x:c r="I51" s="68" t="str">
        <x:v>league</x:v>
      </x:c>
      <x:c r="J51" s="68" t="str">
        <x:v>Liga · 20 participantes · 19 jornadas · solo ida</x:v>
      </x:c>
      <x:c r="K51" s="68" t="str">
        <x:v>4</x:v>
      </x:c>
      <x:c r="L51" s="68" t="str">
        <x:v>2</x:v>
      </x:c>
      <x:c r="M51" s="68" t="str">
        <x:v>1</x:v>
      </x:c>
      <x:c r="N51" s="68" t="str">
        <x:v>SOLO_IDA</x:v>
      </x:c>
      <x:c r="O51" s="68" t="str">
        <x:v>Veinte participantes disputan 19 jornadas a una sola vuelta; cada rival se enfrenta una sola vez y la clasificación final se determina por puntos.</x:v>
      </x:c>
      <x:c r="P51" s="68" t="str">
        <x:v>24</x:v>
      </x:c>
      <x:c r="Q51" s="68" t="str">
        <x:v>SI</x:v>
      </x:c>
      <x:c r="R51" s="68" t="str">
        <x:v>COMPARTIDAS/serie-a.avif</x:v>
      </x:c>
      <x:c r="S51" s="68" t="str">
        <x:v>COMPARTIDAS/serie-a.avif</x:v>
      </x:c>
      <x:c r="T51" s="68" t="str"/>
      <x:c r="U51" s="68" t="str"/>
      <x:c r="V51" s="68" t="str"/>
      <x:c r="W51" s="68" t="str"/>
      <x:c r="X51" s="68" t="str">
        <x:v>COMPARTIDAS</x:v>
      </x:c>
    </x:row>
    <x:row r="52">
      <x:c r="A52" s="68" t="str">
        <x:v>fcm-official-liga-1-peru</x:v>
      </x:c>
      <x:c r="B52" s="68" t="str">
        <x:v>fc-mobile</x:v>
      </x:c>
      <x:c r="C52" s="68" t="str">
        <x:v>Liga 1 Perú · FC Mobile</x:v>
      </x:c>
      <x:c r="D52" s="68" t="str">
        <x:v>Liga</x:v>
      </x:c>
      <x:c r="E52" s="68" t="str">
        <x:v>assets/cups/official/liga-1-peru.png</x:v>
      </x:c>
      <x:c r="F52" s="68" t="str">
        <x:v>assets/cups/official/liga-1-peru.png</x:v>
      </x:c>
      <x:c r="G52" s="68" t="str">
        <x:v>18</x:v>
      </x:c>
      <x:c r="H52" s="68" t="str">
        <x:v>oficial</x:v>
      </x:c>
      <x:c r="I52" s="68" t="str">
        <x:v>league_playoffs</x:v>
      </x:c>
      <x:c r="J52" s="68" t="str">
        <x:v>Liga · 18 participantes · 17 jornadas → Top 4 → Play-offs</x:v>
      </x:c>
      <x:c r="K52" s="68" t="str">
        <x:v>4</x:v>
      </x:c>
      <x:c r="L52" s="68" t="str">
        <x:v>2</x:v>
      </x:c>
      <x:c r="M52" s="68" t="str">
        <x:v>1</x:v>
      </x:c>
      <x:c r="N52" s="68" t="str">
        <x:v>SOLO_IDA</x:v>
      </x:c>
      <x:c r="O52" s="68" t="str">
        <x:v>Liga de 18 participantes a una sola vuelta: 17 jornadas, cada rival se enfrenta una sola vez y los cuatro mejores avanzan a los play-offs por el título.</x:v>
      </x:c>
      <x:c r="P52" s="68" t="str">
        <x:v>25</x:v>
      </x:c>
      <x:c r="Q52" s="68" t="str">
        <x:v>SI</x:v>
      </x:c>
      <x:c r="R52" s="68" t="str">
        <x:v>COMPARTIDAS/liga-1-peru.avif</x:v>
      </x:c>
      <x:c r="S52" s="68" t="str">
        <x:v>COMPARTIDAS/liga-1-peru.avif</x:v>
      </x:c>
      <x:c r="T52" s="68" t="str"/>
      <x:c r="U52" s="68" t="str"/>
      <x:c r="V52" s="68" t="str"/>
      <x:c r="W52" s="68" t="str"/>
      <x:c r="X52" s="68" t="str">
        <x:v>COMPARTIDAS</x:v>
      </x:c>
    </x:row>
    <x:row r="53">
      <x:c r="A53" s="68" t="str">
        <x:v>fcm-official-copa-del-rey</x:v>
      </x:c>
      <x:c r="B53" s="68" t="str">
        <x:v>fc-mobile</x:v>
      </x:c>
      <x:c r="C53" s="68" t="str">
        <x:v>Copa del Rey · FC Mobile</x:v>
      </x:c>
      <x:c r="D53" s="68" t="str">
        <x:v>Copa</x:v>
      </x:c>
      <x:c r="E53" s="68" t="str">
        <x:v>assets/cups/official/copa-del-rey.png</x:v>
      </x:c>
      <x:c r="F53" s="68" t="str">
        <x:v>assets/cups/official/copa-del-rey.png</x:v>
      </x:c>
      <x:c r="G53" s="68" t="str">
        <x:v>64</x:v>
      </x:c>
      <x:c r="H53" s="68" t="str">
        <x:v>oficial</x:v>
      </x:c>
      <x:c r="I53" s="68" t="str">
        <x:v>copa_rey</x:v>
      </x:c>
      <x:c r="J53" s="68" t="str">
        <x:v>64 participantes · eliminación directa a partido único → Final</x:v>
      </x:c>
      <x:c r="K53" s="68" t="str">
        <x:v>4</x:v>
      </x:c>
      <x:c r="L53" s="68" t="str">
        <x:v>2</x:v>
      </x:c>
      <x:c r="M53" s="68" t="str">
        <x:v>1</x:v>
      </x:c>
      <x:c r="N53" s="68" t="str">
        <x:v>SOLO_IDA</x:v>
      </x:c>
      <x:c r="O53" s="68" t="str">
        <x:v>Sesenta y cuatro participantes en un cuadro de eliminación directa. Todas las rondas se disputan a partido único hasta la final.</x:v>
      </x:c>
      <x:c r="P53" s="68" t="str">
        <x:v>26</x:v>
      </x:c>
      <x:c r="Q53" s="68" t="str">
        <x:v>SI</x:v>
      </x:c>
      <x:c r="R53" s="68" t="str">
        <x:v>COMPARTIDAS/copa-del-rey.avif</x:v>
      </x:c>
      <x:c r="S53" s="68" t="str">
        <x:v>COMPARTIDAS/copa-del-rey.avif</x:v>
      </x:c>
      <x:c r="T53" s="68" t="str"/>
      <x:c r="U53" s="68" t="str"/>
      <x:c r="V53" s="68" t="str"/>
      <x:c r="W53" s="68" t="str"/>
      <x:c r="X53" s="68" t="str">
        <x:v>COMPARTIDAS</x:v>
      </x:c>
    </x:row>
    <x:row r="54">
      <x:c r="A54" s="69" t="str">
        <x:v>fcm-official-dfb-pokal</x:v>
      </x:c>
      <x:c r="B54" s="69" t="str">
        <x:v>fc-mobile</x:v>
      </x:c>
      <x:c r="C54" s="69" t="str">
        <x:v>Copa Alemana · DFB-Pokal · FC Mobile</x:v>
      </x:c>
      <x:c r="D54" s="69" t="str">
        <x:v>Copa</x:v>
      </x:c>
      <x:c r="E54" s="69" t="str">
        <x:v>assets/cups/official/dfb-pokal.png</x:v>
      </x:c>
      <x:c r="F54" s="69" t="str">
        <x:v>assets/cups/official/dfb-pokal.png</x:v>
      </x:c>
      <x:c r="G54" s="69" t="str">
        <x:v>64</x:v>
      </x:c>
      <x:c r="H54" s="69" t="str">
        <x:v>oficial</x:v>
      </x:c>
      <x:c r="I54" s="69" t="str">
        <x:v>knockout</x:v>
      </x:c>
      <x:c r="J54" s="69" t="str">
        <x:v>64 participantes · eliminación directa a partido único → Final</x:v>
      </x:c>
      <x:c r="K54" s="69" t="str">
        <x:v>4</x:v>
      </x:c>
      <x:c r="L54" s="69" t="str">
        <x:v>2</x:v>
      </x:c>
      <x:c r="M54" s="69" t="str">
        <x:v>1</x:v>
      </x:c>
      <x:c r="N54" s="69" t="str">
        <x:v>SOLO_IDA</x:v>
      </x:c>
      <x:c r="O54" s="69" t="str">
        <x:v>Sesenta y cuatro participantes en eliminación directa a partido único desde la primera ronda hasta la final.</x:v>
      </x:c>
      <x:c r="P54" s="69" t="str">
        <x:v>27</x:v>
      </x:c>
      <x:c r="Q54" s="69" t="str">
        <x:v>SI</x:v>
      </x:c>
      <x:c r="R54" s="69" t="str">
        <x:v>COMPARTIDAS/dfb-pokal.avif</x:v>
      </x:c>
      <x:c r="S54" s="69" t="str">
        <x:v>COMPARTIDAS/dfb-pokal.avif</x:v>
      </x:c>
      <x:c r="T54" s="69" t="str"/>
      <x:c r="U54" s="69" t="str"/>
      <x:c r="V54" s="69" t="str"/>
      <x:c r="W54" s="69" t="str"/>
      <x:c r="X54" s="69" t="str">
        <x:v>COMPARTIDAS</x:v>
      </x:c>
    </x:row>
  </x:sheetData>
  <x:dataValidations count="2">
    <x:dataValidation type="list" sqref="B2:B1000">
      <x:formula1>"fc-mobile,efootball"</x:formula1>
    </x:dataValidation>
    <x:dataValidation type="list" sqref="Q2:Q1000">
      <x:formula1>"SI,NO"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3" hidden="0" customWidth="1"/>
    <x:col min="3" max="3" width="8" hidden="0" customWidth="1"/>
    <x:col min="4" max="4" width="13" hidden="0" customWidth="1"/>
    <x:col min="5" max="5" width="30" hidden="0" customWidth="1"/>
    <x:col min="6" max="6" width="13" hidden="0" customWidth="1"/>
    <x:col min="7" max="7" width="8" hidden="0" customWidth="1"/>
    <x:col min="8" max="8" width="13" hidden="0" customWidth="1"/>
    <x:col min="9" max="9" width="10" hidden="0" customWidth="1"/>
    <x:col min="10" max="10" width="38" hidden="0" customWidth="1"/>
    <x:col min="11" max="11" width="18" hidden="0" customWidth="1"/>
    <x:col min="12" max="12" width="10" hidden="0" customWidth="1"/>
    <x:col min="13" max="13" width="12" hidden="0" customWidth="1"/>
    <x:col min="14" max="14" width="10" hidden="0" customWidth="1"/>
    <x:col min="15" max="15" width="34" hidden="0" customWidth="1"/>
    <x:col min="16" max="16" width="34" hidden="0" customWidth="1"/>
    <x:col min="17" max="17" width="14" hidden="0" customWidth="1"/>
    <x:col min="18" max="18" width="14" hidden="0" customWidth="1"/>
    <x:col min="19" max="19" width="14" hidden="0" customWidth="1"/>
    <x:col min="20" max="20" width="16" hidden="0" customWidth="1"/>
    <x:col min="21" max="21" width="18" hidden="0" customWidth="1"/>
    <x:col min="22" max="22" width="20" hidden="0" customWidth="1"/>
    <x:col min="23" max="23" width="20" hidden="0" customWidth="1"/>
    <x:col min="24" max="24" width="35" hidden="0" customWidth="1"/>
    <x:col min="25" max="25" width="35" hidden="0" customWidth="1"/>
    <x:col min="26" max="26" width="17" hidden="0" customWidth="1"/>
    <x:col min="27" max="27" width="45" hidden="0" customWidth="1"/>
    <x:col min="28" max="28" width="10" hidden="0" customWidth="1"/>
    <x:col min="29" max="29" width="9" hidden="0" customWidth="1"/>
    <x:col min="30" max="30" width="18" hidden="0" customWidth="1"/>
    <x:col min="31" max="31" width="26" hidden="0" customWidth="1"/>
    <x:col min="32" max="32" width="26" hidden="0" customWidth="1"/>
    <x:col min="33" max="33" width="45" hidden="0" customWidth="1"/>
    <x:col min="34" max="34" width="45" hidden="0" customWidth="1"/>
  </x:cols>
  <x:sheetData>
    <x:row r="1">
      <x:c r="A1" s="59" t="str">
        <x:v>id</x:v>
      </x:c>
      <x:c r="B1" s="59" t="str">
        <x:v>competition_id</x:v>
      </x:c>
      <x:c r="C1" s="59" t="str">
        <x:v>edicion</x:v>
      </x:c>
      <x:c r="D1" s="59" t="str">
        <x:v>juego</x:v>
      </x:c>
      <x:c r="E1" s="59" t="str">
        <x:v>titulo</x:v>
      </x:c>
      <x:c r="F1" s="59" t="str">
        <x:v>tipo</x:v>
      </x:c>
      <x:c r="G1" s="59" t="str">
        <x:v>cupos</x:v>
      </x:c>
      <x:c r="H1" s="59" t="str">
        <x:v>fecha</x:v>
      </x:c>
      <x:c r="I1" s="59" t="str">
        <x:v>hora</x:v>
      </x:c>
      <x:c r="J1" s="59" t="str">
        <x:v>formato</x:v>
      </x:c>
      <x:c r="K1" s="59" t="str">
        <x:v>estructura</x:v>
      </x:c>
      <x:c r="L1" s="59" t="str">
        <x:v>tamano_grupo</x:v>
      </x:c>
      <x:c r="M1" s="59" t="str">
        <x:v>clasifican_grupo</x:v>
      </x:c>
      <x:c r="N1" s="59" t="str">
        <x:v>vueltas_grupo</x:v>
      </x:c>
      <x:c r="O1" s="59" t="str">
        <x:v>copa_portada</x:v>
      </x:c>
      <x:c r="P1" s="59" t="str">
        <x:v>copa_fixture</x:v>
      </x:c>
      <x:c r="Q1" s="59" t="str">
        <x:v>premio_1</x:v>
      </x:c>
      <x:c r="R1" s="59" t="str">
        <x:v>premio_2</x:v>
      </x:c>
      <x:c r="S1" s="59" t="str">
        <x:v>inscripcion</x:v>
      </x:c>
      <x:c r="T1" s="59" t="str">
        <x:v>estado</x:v>
      </x:c>
      <x:c r="U1" s="59" t="str">
        <x:v>inscripciones_estado</x:v>
      </x:c>
      <x:c r="V1" s="59" t="str">
        <x:v>ganador</x:v>
      </x:c>
      <x:c r="W1" s="59" t="str">
        <x:v>segundo_lugar</x:v>
      </x:c>
      <x:c r="X1" s="59" t="str">
        <x:v>foto_ganador</x:v>
      </x:c>
      <x:c r="Y1" s="59" t="str">
        <x:v>instagram_ganador</x:v>
      </x:c>
      <x:c r="Z1" s="59" t="str">
        <x:v>fecha_finalizacion</x:v>
      </x:c>
      <x:c r="AA1" s="59" t="str">
        <x:v>descripcion</x:v>
      </x:c>
      <x:c r="AB1" s="59" t="str">
        <x:v>destacado</x:v>
      </x:c>
      <x:c r="AC1" s="59" t="str">
        <x:v>activo</x:v>
      </x:c>
      <x:c r="AD1" s="59" t="str">
        <x:v>creado_en</x:v>
      </x:c>
      <x:c r="AE1" s="59" t="str">
        <x:v>copa_portada_file_id</x:v>
      </x:c>
      <x:c r="AF1" s="59" t="str">
        <x:v>copa_fixture_file_id</x:v>
      </x:c>
      <x:c r="AG1" s="59" t="str">
        <x:v>copa_portada_url</x:v>
      </x:c>
      <x:c r="AH1" s="59" t="str">
        <x:v>copa_fixture_url</x:v>
      </x:c>
    </x:row>
    <x:row r="2">
      <x:c r="A2" s="68" t="str">
        <x:v>fcm-flash-8</x:v>
      </x:c>
      <x:c r="B2" s="68" t="str">
        <x:v>fcm-comp-01</x:v>
      </x:c>
      <x:c r="C2" s="68" t="str">
        <x:v>1</x:v>
      </x:c>
      <x:c r="D2" s="68" t="str">
        <x:v>fc-mobile</x:v>
      </x:c>
      <x:c r="E2" s="68" t="str">
        <x:v>FC Mobile Cup Pro</x:v>
      </x:c>
      <x:c r="F2" s="68" t="str">
        <x:v>relampago</x:v>
      </x:c>
      <x:c r="G2" s="68" t="str">
        <x:v>8</x:v>
      </x:c>
      <x:c r="H2" s="68" t="str">
        <x:v>Por definir</x:v>
      </x:c>
      <x:c r="I2" s="68" t="str">
        <x:v>Por definir</x:v>
      </x:c>
      <x:c r="J2" s="68" t="str">
        <x:v>Cuartos → Semifinal → Final · partido único</x:v>
      </x:c>
      <x:c r="K2" s="68" t="str">
        <x:v>knockout</x:v>
      </x:c>
      <x:c r="L2" s="68" t="str"/>
      <x:c r="M2" s="68" t="str"/>
      <x:c r="N2" s="68" t="str">
        <x:v>1</x:v>
      </x:c>
      <x:c r="O2" s="68" t="str">
        <x:v>assets/cups/fc-mobile/exclusivas/fc-mobile-cup-pro.png</x:v>
      </x:c>
      <x:c r="P2" s="68" t="str">
        <x:v>assets/cups/fc-mobile/exclusivas/fc-mobile-cup-pro.png</x:v>
      </x:c>
      <x:c r="Q2" s="68" t="str">
        <x:v>Por anunciar</x:v>
      </x:c>
      <x:c r="R2" s="68" t="str">
        <x:v>Por anunciar</x:v>
      </x:c>
      <x:c r="S2" s="68" t="str">
        <x:v>Por anunciar</x:v>
      </x:c>
      <x:c r="T2" s="68" t="str">
        <x:v>PROXIMAMENTE</x:v>
      </x:c>
      <x:c r="U2" s="68" t="str">
        <x:v>CERRADAS</x:v>
      </x:c>
      <x:c r="V2" s="68" t="str"/>
      <x:c r="W2" s="68" t="str"/>
      <x:c r="X2" s="68" t="str"/>
      <x:c r="Y2" s="68" t="str"/>
      <x:c r="Z2" s="68" t="str"/>
      <x:c r="AA2" s="68" t="str">
        <x:v>Copa rápida de FC Mobile para ocho participantes, eliminación directa y partido único.</x:v>
      </x:c>
      <x:c r="AB2" s="68" t="str">
        <x:v>SI</x:v>
      </x:c>
      <x:c r="AC2" s="68" t="str">
        <x:v>SI</x:v>
      </x:c>
      <x:c r="AD2" s="68" t="str"/>
      <x:c r="AE2" s="68" t="str"/>
      <x:c r="AF2" s="68" t="str"/>
      <x:c r="AG2" s="68" t="str"/>
      <x:c r="AH2" s="68" t="str"/>
    </x:row>
    <x:row r="3">
      <x:c r="A3" s="68" t="str">
        <x:v>fcm-flash-16</x:v>
      </x:c>
      <x:c r="B3" s="68" t="str">
        <x:v>fcm-comp-02</x:v>
      </x:c>
      <x:c r="C3" s="68" t="str">
        <x:v>1</x:v>
      </x:c>
      <x:c r="D3" s="68" t="str">
        <x:v>fc-mobile</x:v>
      </x:c>
      <x:c r="E3" s="68" t="str">
        <x:v>FC Mobile Cup Elite</x:v>
      </x:c>
      <x:c r="F3" s="68" t="str">
        <x:v>relampago</x:v>
      </x:c>
      <x:c r="G3" s="68" t="str">
        <x:v>16</x:v>
      </x:c>
      <x:c r="H3" s="68" t="str">
        <x:v>Por definir</x:v>
      </x:c>
      <x:c r="I3" s="68" t="str">
        <x:v>Por definir</x:v>
      </x:c>
      <x:c r="J3" s="68" t="str">
        <x:v>Octavos → Cuartos → Semifinal → Final · partido único</x:v>
      </x:c>
      <x:c r="K3" s="68" t="str">
        <x:v>knockout</x:v>
      </x:c>
      <x:c r="L3" s="68" t="str"/>
      <x:c r="M3" s="68" t="str"/>
      <x:c r="N3" s="68" t="str">
        <x:v>1</x:v>
      </x:c>
      <x:c r="O3" s="68" t="str">
        <x:v>assets/cups/fc-mobile/exclusivas/fc-mobile-cup-elite.png</x:v>
      </x:c>
      <x:c r="P3" s="68" t="str">
        <x:v>assets/cups/fc-mobile/exclusivas/fc-mobile-cup-elite.png</x:v>
      </x:c>
      <x:c r="Q3" s="68" t="str">
        <x:v>Por anunciar</x:v>
      </x:c>
      <x:c r="R3" s="68" t="str">
        <x:v>Por anunciar</x:v>
      </x:c>
      <x:c r="S3" s="68" t="str">
        <x:v>Por anunciar</x:v>
      </x:c>
      <x:c r="T3" s="68" t="str">
        <x:v>PROXIMAMENTE</x:v>
      </x:c>
      <x:c r="U3" s="68" t="str">
        <x:v>CERRADAS</x:v>
      </x:c>
      <x:c r="V3" s="68" t="str"/>
      <x:c r="W3" s="68" t="str"/>
      <x:c r="X3" s="68" t="str"/>
      <x:c r="Y3" s="68" t="str"/>
      <x:c r="Z3" s="68" t="str"/>
      <x:c r="AA3" s="68" t="str">
        <x:v>Copa rápida de FC Mobile para dieciséis participantes, eliminación directa y partido único.</x:v>
      </x:c>
      <x:c r="AB3" s="68" t="str">
        <x:v>SI</x:v>
      </x:c>
      <x:c r="AC3" s="68" t="str">
        <x:v>SI</x:v>
      </x:c>
      <x:c r="AD3" s="68" t="str"/>
      <x:c r="AE3" s="68" t="str"/>
      <x:c r="AF3" s="68" t="str"/>
      <x:c r="AG3" s="68" t="str"/>
      <x:c r="AH3" s="68" t="str"/>
    </x:row>
    <x:row r="4">
      <x:c r="A4" s="68" t="str">
        <x:v>fcm-liga-16</x:v>
      </x:c>
      <x:c r="B4" s="68" t="str">
        <x:v>fcm-comp-07</x:v>
      </x:c>
      <x:c r="C4" s="68" t="str">
        <x:v>1</x:v>
      </x:c>
      <x:c r="D4" s="68" t="str">
        <x:v>fc-mobile</x:v>
      </x:c>
      <x:c r="E4" s="68" t="str">
        <x:v>Liga GMAC</x:v>
      </x:c>
      <x:c r="F4" s="68" t="str">
        <x:v>16</x:v>
      </x:c>
      <x:c r="G4" s="68" t="str">
        <x:v>16</x:v>
      </x:c>
      <x:c r="H4" s="68" t="str">
        <x:v>Por definir</x:v>
      </x:c>
      <x:c r="I4" s="68" t="str">
        <x:v>Por definir</x:v>
      </x:c>
      <x:c r="J4" s="68" t="str">
        <x:v>Liga · 15 jornadas · todos contra todos</x:v>
      </x:c>
      <x:c r="K4" s="68" t="str">
        <x:v>league</x:v>
      </x:c>
      <x:c r="L4" s="68" t="str"/>
      <x:c r="M4" s="68" t="str"/>
      <x:c r="N4" s="68" t="str">
        <x:v>1</x:v>
      </x:c>
      <x:c r="O4" s="68" t="str">
        <x:v>assets/cups/fc-mobile/portadas/gmac-7.png</x:v>
      </x:c>
      <x:c r="P4" s="68" t="str">
        <x:v>assets/cups/fc-mobile/fixture/gmac-7-minimalista.png</x:v>
      </x:c>
      <x:c r="Q4" s="68" t="str">
        <x:v>Por anunciar</x:v>
      </x:c>
      <x:c r="R4" s="68" t="str">
        <x:v>Por anunciar</x:v>
      </x:c>
      <x:c r="S4" s="68" t="str">
        <x:v>Por anunciar</x:v>
      </x:c>
      <x:c r="T4" s="68" t="str">
        <x:v>PROXIMAMENTE</x:v>
      </x:c>
      <x:c r="U4" s="68" t="str">
        <x:v>CERRADAS</x:v>
      </x:c>
      <x:c r="V4" s="68" t="str"/>
      <x:c r="W4" s="68" t="str"/>
      <x:c r="X4" s="68" t="str"/>
      <x:c r="Y4" s="68" t="str"/>
      <x:c r="Z4" s="68" t="str"/>
      <x:c r="AA4" s="68" t="str">
        <x:v>16 participantes en una liga todos contra todos. Cada jugador disputa 15 partidos y la tabla se ordena por puntos.</x:v>
      </x:c>
      <x:c r="AB4" s="68" t="str">
        <x:v>SI</x:v>
      </x:c>
      <x:c r="AC4" s="68" t="str">
        <x:v>SI</x:v>
      </x:c>
      <x:c r="AD4" s="68" t="str"/>
      <x:c r="AE4" s="68" t="str"/>
      <x:c r="AF4" s="68" t="str"/>
      <x:c r="AG4" s="68" t="str"/>
      <x:c r="AH4" s="68" t="str"/>
    </x:row>
    <x:row r="5">
      <x:c r="A5" s="68" t="str">
        <x:v>fcm-grupos-16</x:v>
      </x:c>
      <x:c r="B5" s="68" t="str">
        <x:v>fcm-comp-08</x:v>
      </x:c>
      <x:c r="C5" s="68" t="str">
        <x:v>1</x:v>
      </x:c>
      <x:c r="D5" s="68" t="str">
        <x:v>fc-mobile</x:v>
      </x:c>
      <x:c r="E5" s="68" t="str">
        <x:v>Copa Grupos</x:v>
      </x:c>
      <x:c r="F5" s="68" t="str">
        <x:v>16</x:v>
      </x:c>
      <x:c r="G5" s="68" t="str">
        <x:v>16</x:v>
      </x:c>
      <x:c r="H5" s="68" t="str">
        <x:v>Por definir</x:v>
      </x:c>
      <x:c r="I5" s="68" t="str">
        <x:v>Por definir</x:v>
      </x:c>
      <x:c r="J5" s="68" t="str">
        <x:v>4 grupos + eliminatorias</x:v>
      </x:c>
      <x:c r="K5" s="68" t="str">
        <x:v>groups</x:v>
      </x:c>
      <x:c r="L5" s="68" t="str">
        <x:v>4</x:v>
      </x:c>
      <x:c r="M5" s="68" t="str">
        <x:v>2</x:v>
      </x:c>
      <x:c r="N5" s="68" t="str">
        <x:v>1</x:v>
      </x:c>
      <x:c r="O5" s="68" t="str">
        <x:v>assets/cups/fc-mobile/portadas/gmac-8.png</x:v>
      </x:c>
      <x:c r="P5" s="68" t="str">
        <x:v>assets/cups/fc-mobile/fixture/gmac-8-minimalista.png</x:v>
      </x:c>
      <x:c r="Q5" s="68" t="str">
        <x:v>Por anunciar</x:v>
      </x:c>
      <x:c r="R5" s="68" t="str">
        <x:v>Por anunciar</x:v>
      </x:c>
      <x:c r="S5" s="68" t="str">
        <x:v>Por anunciar</x:v>
      </x:c>
      <x:c r="T5" s="68" t="str">
        <x:v>PROXIMAMENTE</x:v>
      </x:c>
      <x:c r="U5" s="68" t="str">
        <x:v>CERRADAS</x:v>
      </x:c>
      <x:c r="V5" s="68" t="str"/>
      <x:c r="W5" s="68" t="str"/>
      <x:c r="X5" s="68" t="str"/>
      <x:c r="Y5" s="68" t="str"/>
      <x:c r="Z5" s="68" t="str"/>
      <x:c r="AA5" s="68" t="str">
        <x:v>Cuatro grupos de cuatro jugadores y una fase final para los mejores clasificados.</x:v>
      </x:c>
      <x:c r="AB5" s="68" t="str">
        <x:v>NO</x:v>
      </x:c>
      <x:c r="AC5" s="68" t="str">
        <x:v>SI</x:v>
      </x:c>
      <x:c r="AD5" s="68" t="str"/>
      <x:c r="AE5" s="68" t="str"/>
      <x:c r="AF5" s="68" t="str"/>
      <x:c r="AG5" s="68" t="str"/>
      <x:c r="AH5" s="68" t="str"/>
    </x:row>
    <x:row r="6">
      <x:c r="A6" s="68" t="str">
        <x:v>fcm-champions-32</x:v>
      </x:c>
      <x:c r="B6" s="68" t="str">
        <x:v>fcm-comp-09</x:v>
      </x:c>
      <x:c r="C6" s="68" t="str">
        <x:v>1</x:v>
      </x:c>
      <x:c r="D6" s="68" t="str">
        <x:v>fc-mobile</x:v>
      </x:c>
      <x:c r="E6" s="68" t="str">
        <x:v>GMAC Champions</x:v>
      </x:c>
      <x:c r="F6" s="68" t="str">
        <x:v>32</x:v>
      </x:c>
      <x:c r="G6" s="68" t="str">
        <x:v>32</x:v>
      </x:c>
      <x:c r="H6" s="68" t="str">
        <x:v>Por definir</x:v>
      </x:c>
      <x:c r="I6" s="68" t="str">
        <x:v>Por definir</x:v>
      </x:c>
      <x:c r="J6" s="68" t="str">
        <x:v>8 grupos de 4 → Octavos → Final</x:v>
      </x:c>
      <x:c r="K6" s="68" t="str">
        <x:v>groups</x:v>
      </x:c>
      <x:c r="L6" s="68" t="str">
        <x:v>4</x:v>
      </x:c>
      <x:c r="M6" s="68" t="str">
        <x:v>2</x:v>
      </x:c>
      <x:c r="N6" s="68" t="str">
        <x:v>1</x:v>
      </x:c>
      <x:c r="O6" s="68" t="str">
        <x:v>assets/cups/fc-mobile/portadas/gmac-9.png</x:v>
      </x:c>
      <x:c r="P6" s="68" t="str">
        <x:v>assets/cups/fc-mobile/fixture/gmac-9-minimalista.png</x:v>
      </x:c>
      <x:c r="Q6" s="68" t="str">
        <x:v>Por anunciar</x:v>
      </x:c>
      <x:c r="R6" s="68" t="str">
        <x:v>Por anunciar</x:v>
      </x:c>
      <x:c r="S6" s="68" t="str">
        <x:v>Por anunciar</x:v>
      </x:c>
      <x:c r="T6" s="68" t="str">
        <x:v>PROXIMAMENTE</x:v>
      </x:c>
      <x:c r="U6" s="68" t="str">
        <x:v>CERRADAS</x:v>
      </x:c>
      <x:c r="V6" s="68" t="str"/>
      <x:c r="W6" s="68" t="str"/>
      <x:c r="X6" s="68" t="str"/>
      <x:c r="Y6" s="68" t="str"/>
      <x:c r="Z6" s="68" t="str"/>
      <x:c r="AA6" s="68" t="str">
        <x:v>Edición grande con fase inicial y rondas decisivas.</x:v>
      </x:c>
      <x:c r="AB6" s="68" t="str">
        <x:v>SI</x:v>
      </x:c>
      <x:c r="AC6" s="68" t="str">
        <x:v>SI</x:v>
      </x:c>
      <x:c r="AD6" s="68" t="str"/>
      <x:c r="AE6" s="68" t="str"/>
      <x:c r="AF6" s="68" t="str"/>
      <x:c r="AG6" s="68" t="str"/>
      <x:c r="AH6" s="68" t="str"/>
    </x:row>
    <x:row r="7">
      <x:c r="A7" s="68" t="str">
        <x:v>fcm-rookie-16</x:v>
      </x:c>
      <x:c r="B7" s="68" t="str">
        <x:v>fcm-comp-10</x:v>
      </x:c>
      <x:c r="C7" s="68" t="str">
        <x:v>1</x:v>
      </x:c>
      <x:c r="D7" s="68" t="str">
        <x:v>fc-mobile</x:v>
      </x:c>
      <x:c r="E7" s="68" t="str">
        <x:v>Rookie Cup</x:v>
      </x:c>
      <x:c r="F7" s="68" t="str">
        <x:v>16</x:v>
      </x:c>
      <x:c r="G7" s="68" t="str">
        <x:v>16</x:v>
      </x:c>
      <x:c r="H7" s="68" t="str">
        <x:v>Por definir</x:v>
      </x:c>
      <x:c r="I7" s="68" t="str">
        <x:v>Por definir</x:v>
      </x:c>
      <x:c r="J7" s="68" t="str">
        <x:v>Eliminación directa</x:v>
      </x:c>
      <x:c r="K7" s="68" t="str">
        <x:v>knockout</x:v>
      </x:c>
      <x:c r="L7" s="68" t="str"/>
      <x:c r="M7" s="68" t="str"/>
      <x:c r="N7" s="68" t="str">
        <x:v>1</x:v>
      </x:c>
      <x:c r="O7" s="68" t="str">
        <x:v>assets/cups/fc-mobile/portadas/gmac-10.png</x:v>
      </x:c>
      <x:c r="P7" s="68" t="str">
        <x:v>assets/cups/fc-mobile/fixture/gmac-10-minimalista.png</x:v>
      </x:c>
      <x:c r="Q7" s="68" t="str">
        <x:v>Por anunciar</x:v>
      </x:c>
      <x:c r="R7" s="68" t="str">
        <x:v>Por anunciar</x:v>
      </x:c>
      <x:c r="S7" s="68" t="str">
        <x:v>Por anunciar</x:v>
      </x:c>
      <x:c r="T7" s="68" t="str">
        <x:v>PROXIMAMENTE</x:v>
      </x:c>
      <x:c r="U7" s="68" t="str">
        <x:v>CERRADAS</x:v>
      </x:c>
      <x:c r="V7" s="68" t="str"/>
      <x:c r="W7" s="68" t="str"/>
      <x:c r="X7" s="68" t="str"/>
      <x:c r="Y7" s="68" t="str"/>
      <x:c r="Z7" s="68" t="str"/>
      <x:c r="AA7" s="68" t="str">
        <x:v>Una copa pensada para jugadores nuevos en los torneos de GMAC.</x:v>
      </x:c>
      <x:c r="AB7" s="68" t="str">
        <x:v>NO</x:v>
      </x:c>
      <x:c r="AC7" s="68" t="str">
        <x:v>SI</x:v>
      </x:c>
      <x:c r="AD7" s="68" t="str"/>
      <x:c r="AE7" s="68" t="str"/>
      <x:c r="AF7" s="68" t="str"/>
      <x:c r="AG7" s="68" t="str"/>
      <x:c r="AH7" s="68" t="str"/>
    </x:row>
    <x:row r="8">
      <x:c r="A8" s="68" t="str">
        <x:v>fcm-masters-16</x:v>
      </x:c>
      <x:c r="B8" s="68" t="str">
        <x:v>fcm-comp-11</x:v>
      </x:c>
      <x:c r="C8" s="68" t="str">
        <x:v>1</x:v>
      </x:c>
      <x:c r="D8" s="68" t="str">
        <x:v>fc-mobile</x:v>
      </x:c>
      <x:c r="E8" s="68" t="str">
        <x:v>Masters FC Mobile</x:v>
      </x:c>
      <x:c r="F8" s="68" t="str">
        <x:v>16</x:v>
      </x:c>
      <x:c r="G8" s="68" t="str">
        <x:v>16</x:v>
      </x:c>
      <x:c r="H8" s="68" t="str">
        <x:v>Por definir</x:v>
      </x:c>
      <x:c r="I8" s="68" t="str">
        <x:v>Por definir</x:v>
      </x:c>
      <x:c r="J8" s="68" t="str">
        <x:v>Eliminación directa</x:v>
      </x:c>
      <x:c r="K8" s="68" t="str">
        <x:v>knockout</x:v>
      </x:c>
      <x:c r="L8" s="68" t="str"/>
      <x:c r="M8" s="68" t="str"/>
      <x:c r="N8" s="68" t="str">
        <x:v>1</x:v>
      </x:c>
      <x:c r="O8" s="68" t="str">
        <x:v>assets/cups/fc-mobile/portadas/gmac-11.png</x:v>
      </x:c>
      <x:c r="P8" s="68" t="str">
        <x:v>assets/cups/fc-mobile/fixture/gmac-11-minimalista.png</x:v>
      </x:c>
      <x:c r="Q8" s="68" t="str">
        <x:v>Por anunciar</x:v>
      </x:c>
      <x:c r="R8" s="68" t="str">
        <x:v>Por anunciar</x:v>
      </x:c>
      <x:c r="S8" s="68" t="str">
        <x:v>Por anunciar</x:v>
      </x:c>
      <x:c r="T8" s="68" t="str">
        <x:v>PROXIMAMENTE</x:v>
      </x:c>
      <x:c r="U8" s="68" t="str">
        <x:v>CERRADAS</x:v>
      </x:c>
      <x:c r="V8" s="68" t="str"/>
      <x:c r="W8" s="68" t="str"/>
      <x:c r="X8" s="68" t="str"/>
      <x:c r="Y8" s="68" t="str"/>
      <x:c r="Z8" s="68" t="str"/>
      <x:c r="AA8" s="68" t="str">
        <x:v>Competencia de nivel alto para una edición con identidad más competitiva.</x:v>
      </x:c>
      <x:c r="AB8" s="68" t="str">
        <x:v>SI</x:v>
      </x:c>
      <x:c r="AC8" s="68" t="str">
        <x:v>SI</x:v>
      </x:c>
      <x:c r="AD8" s="68" t="str"/>
      <x:c r="AE8" s="68" t="str"/>
      <x:c r="AF8" s="68" t="str"/>
      <x:c r="AG8" s="68" t="str"/>
      <x:c r="AH8" s="68" t="str"/>
    </x:row>
    <x:row r="9">
      <x:c r="A9" s="68" t="str">
        <x:v>fcm-champions-8</x:v>
      </x:c>
      <x:c r="B9" s="68" t="str">
        <x:v>fcm-comp-12</x:v>
      </x:c>
      <x:c r="C9" s="68" t="str">
        <x:v>1</x:v>
      </x:c>
      <x:c r="D9" s="68" t="str">
        <x:v>fc-mobile</x:v>
      </x:c>
      <x:c r="E9" s="68" t="str">
        <x:v>Copa de Campeones</x:v>
      </x:c>
      <x:c r="F9" s="68" t="str">
        <x:v>8</x:v>
      </x:c>
      <x:c r="G9" s="68" t="str">
        <x:v>8</x:v>
      </x:c>
      <x:c r="H9" s="68" t="str">
        <x:v>Por definir</x:v>
      </x:c>
      <x:c r="I9" s="68" t="str">
        <x:v>Por definir</x:v>
      </x:c>
      <x:c r="J9" s="68" t="str">
        <x:v>Cuartos → Final</x:v>
      </x:c>
      <x:c r="K9" s="68" t="str">
        <x:v>knockout</x:v>
      </x:c>
      <x:c r="L9" s="68" t="str"/>
      <x:c r="M9" s="68" t="str"/>
      <x:c r="N9" s="68" t="str">
        <x:v>1</x:v>
      </x:c>
      <x:c r="O9" s="68" t="str">
        <x:v>assets/cups/fc-mobile/portadas/gmac-12.png</x:v>
      </x:c>
      <x:c r="P9" s="68" t="str">
        <x:v>assets/cups/fc-mobile/fixture/gmac-12-minimalista.png</x:v>
      </x:c>
      <x:c r="Q9" s="68" t="str">
        <x:v>Por anunciar</x:v>
      </x:c>
      <x:c r="R9" s="68" t="str">
        <x:v>Por anunciar</x:v>
      </x:c>
      <x:c r="S9" s="68" t="str">
        <x:v>Por anunciar</x:v>
      </x:c>
      <x:c r="T9" s="68" t="str">
        <x:v>PROXIMAMENTE</x:v>
      </x:c>
      <x:c r="U9" s="68" t="str">
        <x:v>CERRADAS</x:v>
      </x:c>
      <x:c r="V9" s="68" t="str"/>
      <x:c r="W9" s="68" t="str"/>
      <x:c r="X9" s="68" t="str"/>
      <x:c r="Y9" s="68" t="str"/>
      <x:c r="Z9" s="68" t="str"/>
      <x:c r="AA9" s="68" t="str">
        <x:v>Reservada para campeones, finalistas o clasificados de ediciones anteriores.</x:v>
      </x:c>
      <x:c r="AB9" s="68" t="str">
        <x:v>NO</x:v>
      </x:c>
      <x:c r="AC9" s="68" t="str">
        <x:v>SI</x:v>
      </x:c>
      <x:c r="AD9" s="68" t="str"/>
      <x:c r="AE9" s="68" t="str"/>
      <x:c r="AF9" s="68" t="str"/>
      <x:c r="AG9" s="68" t="str"/>
      <x:c r="AH9" s="68" t="str"/>
    </x:row>
    <x:row r="10">
      <x:c r="A10" s="68" t="str">
        <x:v>fcm-lastchance-16</x:v>
      </x:c>
      <x:c r="B10" s="68" t="str">
        <x:v>fcm-comp-13</x:v>
      </x:c>
      <x:c r="C10" s="68" t="str">
        <x:v>1</x:v>
      </x:c>
      <x:c r="D10" s="68" t="str">
        <x:v>fc-mobile</x:v>
      </x:c>
      <x:c r="E10" s="68" t="str">
        <x:v>Last Chance</x:v>
      </x:c>
      <x:c r="F10" s="68" t="str">
        <x:v>16</x:v>
      </x:c>
      <x:c r="G10" s="68" t="str">
        <x:v>16</x:v>
      </x:c>
      <x:c r="H10" s="68" t="str">
        <x:v>Por definir</x:v>
      </x:c>
      <x:c r="I10" s="68" t="str">
        <x:v>Por definir</x:v>
      </x:c>
      <x:c r="J10" s="68" t="str">
        <x:v>Eliminación directa</x:v>
      </x:c>
      <x:c r="K10" s="68" t="str">
        <x:v>knockout</x:v>
      </x:c>
      <x:c r="L10" s="68" t="str"/>
      <x:c r="M10" s="68" t="str"/>
      <x:c r="N10" s="68" t="str">
        <x:v>1</x:v>
      </x:c>
      <x:c r="O10" s="68" t="str">
        <x:v>assets/cups/fc-mobile/portadas/gmac-13.png</x:v>
      </x:c>
      <x:c r="P10" s="68" t="str">
        <x:v>assets/cups/fc-mobile/fixture/gmac-13-minimalista.png</x:v>
      </x:c>
      <x:c r="Q10" s="68" t="str">
        <x:v>Por anunciar</x:v>
      </x:c>
      <x:c r="R10" s="68" t="str">
        <x:v>Por anunciar</x:v>
      </x:c>
      <x:c r="S10" s="68" t="str">
        <x:v>Por anunciar</x:v>
      </x:c>
      <x:c r="T10" s="68" t="str">
        <x:v>PROXIMAMENTE</x:v>
      </x:c>
      <x:c r="U10" s="68" t="str">
        <x:v>CERRADAS</x:v>
      </x:c>
      <x:c r="V10" s="68" t="str"/>
      <x:c r="W10" s="68" t="str"/>
      <x:c r="X10" s="68" t="str"/>
      <x:c r="Y10" s="68" t="str"/>
      <x:c r="Z10" s="68" t="str"/>
      <x:c r="AA10" s="68" t="str">
        <x:v>Una última oportunidad para clasificar a una edición mayor o final de temporada.</x:v>
      </x:c>
      <x:c r="AB10" s="68" t="str">
        <x:v>NO</x:v>
      </x:c>
      <x:c r="AC10" s="68" t="str">
        <x:v>SI</x:v>
      </x:c>
      <x:c r="AD10" s="68" t="str"/>
      <x:c r="AE10" s="68" t="str"/>
      <x:c r="AF10" s="68" t="str"/>
      <x:c r="AG10" s="68" t="str"/>
      <x:c r="AH10" s="68" t="str"/>
    </x:row>
    <x:row r="11">
      <x:c r="A11" s="68" t="str">
        <x:v>fcm-night-16</x:v>
      </x:c>
      <x:c r="B11" s="68" t="str">
        <x:v>fcm-comp-14</x:v>
      </x:c>
      <x:c r="C11" s="68" t="str">
        <x:v>1</x:v>
      </x:c>
      <x:c r="D11" s="68" t="str">
        <x:v>fc-mobile</x:v>
      </x:c>
      <x:c r="E11" s="68" t="str">
        <x:v>Nocturno</x:v>
      </x:c>
      <x:c r="F11" s="68" t="str">
        <x:v>16</x:v>
      </x:c>
      <x:c r="G11" s="68" t="str">
        <x:v>16</x:v>
      </x:c>
      <x:c r="H11" s="68" t="str">
        <x:v>Por definir</x:v>
      </x:c>
      <x:c r="I11" s="68" t="str">
        <x:v>Por definir</x:v>
      </x:c>
      <x:c r="J11" s="68" t="str">
        <x:v>Eliminación directa</x:v>
      </x:c>
      <x:c r="K11" s="68" t="str">
        <x:v>knockout</x:v>
      </x:c>
      <x:c r="L11" s="68" t="str"/>
      <x:c r="M11" s="68" t="str"/>
      <x:c r="N11" s="68" t="str">
        <x:v>1</x:v>
      </x:c>
      <x:c r="O11" s="68" t="str">
        <x:v>assets/cups/fc-mobile/portadas/gmac-14.png</x:v>
      </x:c>
      <x:c r="P11" s="68" t="str">
        <x:v>assets/cups/fc-mobile/fixture/gmac-14-minimalista.png</x:v>
      </x:c>
      <x:c r="Q11" s="68" t="str">
        <x:v>Por anunciar</x:v>
      </x:c>
      <x:c r="R11" s="68" t="str">
        <x:v>Por anunciar</x:v>
      </x:c>
      <x:c r="S11" s="68" t="str">
        <x:v>Por anunciar</x:v>
      </x:c>
      <x:c r="T11" s="68" t="str">
        <x:v>PROXIMAMENTE</x:v>
      </x:c>
      <x:c r="U11" s="68" t="str">
        <x:v>CERRADAS</x:v>
      </x:c>
      <x:c r="V11" s="68" t="str"/>
      <x:c r="W11" s="68" t="str"/>
      <x:c r="X11" s="68" t="str"/>
      <x:c r="Y11" s="68" t="str"/>
      <x:c r="Z11" s="68" t="str"/>
      <x:c r="AA11" s="68" t="str">
        <x:v>Cruces compactos en horario nocturno, ideal para una edición entre semana.</x:v>
      </x:c>
      <x:c r="AB11" s="68" t="str">
        <x:v>NO</x:v>
      </x:c>
      <x:c r="AC11" s="68" t="str">
        <x:v>SI</x:v>
      </x:c>
      <x:c r="AD11" s="68" t="str"/>
      <x:c r="AE11" s="68" t="str"/>
      <x:c r="AF11" s="68" t="str"/>
      <x:c r="AG11" s="68" t="str"/>
      <x:c r="AH11" s="68" t="str"/>
    </x:row>
    <x:row r="12">
      <x:c r="A12" s="68" t="str">
        <x:v>fcm-weekend-32</x:v>
      </x:c>
      <x:c r="B12" s="68" t="str">
        <x:v>fcm-comp-15</x:v>
      </x:c>
      <x:c r="C12" s="68" t="str">
        <x:v>1</x:v>
      </x:c>
      <x:c r="D12" s="68" t="str">
        <x:v>fc-mobile</x:v>
      </x:c>
      <x:c r="E12" s="68" t="str">
        <x:v>Weekend Cup</x:v>
      </x:c>
      <x:c r="F12" s="68" t="str">
        <x:v>32</x:v>
      </x:c>
      <x:c r="G12" s="68" t="str">
        <x:v>32</x:v>
      </x:c>
      <x:c r="H12" s="68" t="str">
        <x:v>Por definir</x:v>
      </x:c>
      <x:c r="I12" s="68" t="str">
        <x:v>Por definir</x:v>
      </x:c>
      <x:c r="J12" s="68" t="str">
        <x:v>8 grupos de 4 → Octavos → Final</x:v>
      </x:c>
      <x:c r="K12" s="68" t="str">
        <x:v>groups</x:v>
      </x:c>
      <x:c r="L12" s="68" t="str">
        <x:v>4</x:v>
      </x:c>
      <x:c r="M12" s="68" t="str">
        <x:v>2</x:v>
      </x:c>
      <x:c r="N12" s="68" t="str">
        <x:v>1</x:v>
      </x:c>
      <x:c r="O12" s="68" t="str">
        <x:v>assets/cups/fc-mobile/portadas/gmac-15.png</x:v>
      </x:c>
      <x:c r="P12" s="68" t="str">
        <x:v>assets/cups/fc-mobile/fixture/gmac-15-minimalista.png</x:v>
      </x:c>
      <x:c r="Q12" s="68" t="str">
        <x:v>Por anunciar</x:v>
      </x:c>
      <x:c r="R12" s="68" t="str">
        <x:v>Por anunciar</x:v>
      </x:c>
      <x:c r="S12" s="68" t="str">
        <x:v>Por anunciar</x:v>
      </x:c>
      <x:c r="T12" s="68" t="str">
        <x:v>PROXIMAMENTE</x:v>
      </x:c>
      <x:c r="U12" s="68" t="str">
        <x:v>CERRADAS</x:v>
      </x:c>
      <x:c r="V12" s="68" t="str"/>
      <x:c r="W12" s="68" t="str"/>
      <x:c r="X12" s="68" t="str"/>
      <x:c r="Y12" s="68" t="str"/>
      <x:c r="Z12" s="68" t="str"/>
      <x:c r="AA12" s="68" t="str">
        <x:v>Ocho grupos de cuatro y fase eliminatoria para disputar por etapas durante un fin de semana.</x:v>
      </x:c>
      <x:c r="AB12" s="68" t="str">
        <x:v>NO</x:v>
      </x:c>
      <x:c r="AC12" s="68" t="str">
        <x:v>SI</x:v>
      </x:c>
      <x:c r="AD12" s="68" t="str"/>
      <x:c r="AE12" s="68" t="str"/>
      <x:c r="AF12" s="68" t="str"/>
      <x:c r="AG12" s="68" t="str"/>
      <x:c r="AH12" s="68" t="str"/>
    </x:row>
    <x:row r="13">
      <x:c r="A13" s="68" t="str">
        <x:v>fcm-revancha-8</x:v>
      </x:c>
      <x:c r="B13" s="68" t="str">
        <x:v>fcm-comp-16</x:v>
      </x:c>
      <x:c r="C13" s="68" t="str">
        <x:v>1</x:v>
      </x:c>
      <x:c r="D13" s="68" t="str">
        <x:v>fc-mobile</x:v>
      </x:c>
      <x:c r="E13" s="68" t="str">
        <x:v>Noche de Revancha</x:v>
      </x:c>
      <x:c r="F13" s="68" t="str">
        <x:v>8</x:v>
      </x:c>
      <x:c r="G13" s="68" t="str">
        <x:v>8</x:v>
      </x:c>
      <x:c r="H13" s="68" t="str">
        <x:v>Por definir</x:v>
      </x:c>
      <x:c r="I13" s="68" t="str">
        <x:v>Por definir</x:v>
      </x:c>
      <x:c r="J13" s="68" t="str">
        <x:v>Cuartos → Final</x:v>
      </x:c>
      <x:c r="K13" s="68" t="str">
        <x:v>knockout</x:v>
      </x:c>
      <x:c r="L13" s="68" t="str"/>
      <x:c r="M13" s="68" t="str"/>
      <x:c r="N13" s="68" t="str">
        <x:v>1</x:v>
      </x:c>
      <x:c r="O13" s="68" t="str">
        <x:v>assets/cups/fc-mobile/portadas/gmac-16.png</x:v>
      </x:c>
      <x:c r="P13" s="68" t="str">
        <x:v>assets/cups/fc-mobile/fixture/gmac-16-minimalista.png</x:v>
      </x:c>
      <x:c r="Q13" s="68" t="str">
        <x:v>Por anunciar</x:v>
      </x:c>
      <x:c r="R13" s="68" t="str">
        <x:v>Por anunciar</x:v>
      </x:c>
      <x:c r="S13" s="68" t="str">
        <x:v>Por anunciar</x:v>
      </x:c>
      <x:c r="T13" s="68" t="str">
        <x:v>PROXIMAMENTE</x:v>
      </x:c>
      <x:c r="U13" s="68" t="str">
        <x:v>CERRADAS</x:v>
      </x:c>
      <x:c r="V13" s="68" t="str"/>
      <x:c r="W13" s="68" t="str"/>
      <x:c r="X13" s="68" t="str"/>
      <x:c r="Y13" s="68" t="str"/>
      <x:c r="Z13" s="68" t="str"/>
      <x:c r="AA13" s="68" t="str">
        <x:v>Una edición corta para volver a enfrentar rivales de torneos anteriores.</x:v>
      </x:c>
      <x:c r="AB13" s="68" t="str">
        <x:v>NO</x:v>
      </x:c>
      <x:c r="AC13" s="68" t="str">
        <x:v>SI</x:v>
      </x:c>
      <x:c r="AD13" s="68" t="str"/>
      <x:c r="AE13" s="68" t="str"/>
      <x:c r="AF13" s="68" t="str"/>
      <x:c r="AG13" s="68" t="str"/>
      <x:c r="AH13" s="68" t="str"/>
    </x:row>
    <x:row r="14">
      <x:c r="A14" s="68" t="str">
        <x:v>fcm-king-16</x:v>
      </x:c>
      <x:c r="B14" s="68" t="str">
        <x:v>fcm-comp-17</x:v>
      </x:c>
      <x:c r="C14" s="68" t="str">
        <x:v>1</x:v>
      </x:c>
      <x:c r="D14" s="68" t="str">
        <x:v>fc-mobile</x:v>
      </x:c>
      <x:c r="E14" s="68" t="str">
        <x:v>Rey de GMAC</x:v>
      </x:c>
      <x:c r="F14" s="68" t="str">
        <x:v>16</x:v>
      </x:c>
      <x:c r="G14" s="68" t="str">
        <x:v>16</x:v>
      </x:c>
      <x:c r="H14" s="68" t="str">
        <x:v>Por definir</x:v>
      </x:c>
      <x:c r="I14" s="68" t="str">
        <x:v>Por definir</x:v>
      </x:c>
      <x:c r="J14" s="68" t="str">
        <x:v>Eliminación directa</x:v>
      </x:c>
      <x:c r="K14" s="68" t="str">
        <x:v>knockout</x:v>
      </x:c>
      <x:c r="L14" s="68" t="str"/>
      <x:c r="M14" s="68" t="str"/>
      <x:c r="N14" s="68" t="str">
        <x:v>1</x:v>
      </x:c>
      <x:c r="O14" s="68" t="str">
        <x:v>assets/cups/fc-mobile/portadas/gmac-17.png</x:v>
      </x:c>
      <x:c r="P14" s="68" t="str">
        <x:v>assets/cups/fc-mobile/fixture/gmac-17-minimalista.png</x:v>
      </x:c>
      <x:c r="Q14" s="68" t="str">
        <x:v>Por anunciar</x:v>
      </x:c>
      <x:c r="R14" s="68" t="str">
        <x:v>Por anunciar</x:v>
      </x:c>
      <x:c r="S14" s="68" t="str">
        <x:v>Por anunciar</x:v>
      </x:c>
      <x:c r="T14" s="68" t="str">
        <x:v>PROXIMAMENTE</x:v>
      </x:c>
      <x:c r="U14" s="68" t="str">
        <x:v>CERRADAS</x:v>
      </x:c>
      <x:c r="V14" s="68" t="str"/>
      <x:c r="W14" s="68" t="str"/>
      <x:c r="X14" s="68" t="str"/>
      <x:c r="Y14" s="68" t="str"/>
      <x:c r="Z14" s="68" t="str"/>
      <x:c r="AA14" s="68" t="str">
        <x:v>Un torneo temático de 16 jugadores para coronar al rey de la edición.</x:v>
      </x:c>
      <x:c r="AB14" s="68" t="str">
        <x:v>NO</x:v>
      </x:c>
      <x:c r="AC14" s="68" t="str">
        <x:v>SI</x:v>
      </x:c>
      <x:c r="AD14" s="68" t="str"/>
      <x:c r="AE14" s="68" t="str"/>
      <x:c r="AF14" s="68" t="str"/>
      <x:c r="AG14" s="68" t="str"/>
      <x:c r="AH14" s="68" t="str"/>
    </x:row>
    <x:row r="15">
      <x:c r="A15" s="68" t="str">
        <x:v>fcm-open-32</x:v>
      </x:c>
      <x:c r="B15" s="68" t="str">
        <x:v>fcm-comp-18</x:v>
      </x:c>
      <x:c r="C15" s="68" t="str">
        <x:v>1</x:v>
      </x:c>
      <x:c r="D15" s="68" t="str">
        <x:v>fc-mobile</x:v>
      </x:c>
      <x:c r="E15" s="68" t="str">
        <x:v>Open FC Mobile</x:v>
      </x:c>
      <x:c r="F15" s="68" t="str">
        <x:v>32</x:v>
      </x:c>
      <x:c r="G15" s="68" t="str">
        <x:v>32</x:v>
      </x:c>
      <x:c r="H15" s="68" t="str">
        <x:v>Por definir</x:v>
      </x:c>
      <x:c r="I15" s="68" t="str">
        <x:v>Por definir</x:v>
      </x:c>
      <x:c r="J15" s="68" t="str">
        <x:v>8 grupos de 4 → Octavos → Final</x:v>
      </x:c>
      <x:c r="K15" s="68" t="str">
        <x:v>groups</x:v>
      </x:c>
      <x:c r="L15" s="68" t="str">
        <x:v>4</x:v>
      </x:c>
      <x:c r="M15" s="68" t="str">
        <x:v>2</x:v>
      </x:c>
      <x:c r="N15" s="68" t="str">
        <x:v>1</x:v>
      </x:c>
      <x:c r="O15" s="68" t="str">
        <x:v>assets/cups/fc-mobile/portadas/gmac-18.png</x:v>
      </x:c>
      <x:c r="P15" s="68" t="str">
        <x:v>assets/cups/fc-mobile/fixture/gmac-18-minimalista.png</x:v>
      </x:c>
      <x:c r="Q15" s="68" t="str">
        <x:v>Por anunciar</x:v>
      </x:c>
      <x:c r="R15" s="68" t="str">
        <x:v>Por anunciar</x:v>
      </x:c>
      <x:c r="S15" s="68" t="str">
        <x:v>Por anunciar</x:v>
      </x:c>
      <x:c r="T15" s="68" t="str">
        <x:v>PROXIMAMENTE</x:v>
      </x:c>
      <x:c r="U15" s="68" t="str">
        <x:v>CERRADAS</x:v>
      </x:c>
      <x:c r="V15" s="68" t="str"/>
      <x:c r="W15" s="68" t="str"/>
      <x:c r="X15" s="68" t="str"/>
      <x:c r="Y15" s="68" t="str"/>
      <x:c r="Z15" s="68" t="str"/>
      <x:c r="AA15" s="68" t="str">
        <x:v>Open de 32 jugadores: ocho grupos de cuatro y eliminatorias para definir al campeón.</x:v>
      </x:c>
      <x:c r="AB15" s="68" t="str">
        <x:v>NO</x:v>
      </x:c>
      <x:c r="AC15" s="68" t="str">
        <x:v>SI</x:v>
      </x:c>
      <x:c r="AD15" s="68" t="str"/>
      <x:c r="AE15" s="68" t="str"/>
      <x:c r="AF15" s="68" t="str"/>
      <x:c r="AG15" s="68" t="str"/>
      <x:c r="AH15" s="68" t="str"/>
    </x:row>
    <x:row r="16">
      <x:c r="A16" s="68" t="str">
        <x:v>fcm-copa-del-mundo</x:v>
      </x:c>
      <x:c r="B16" s="68" t="str">
        <x:v>fcm-official-copa-del-mundo</x:v>
      </x:c>
      <x:c r="C16" s="68" t="str">
        <x:v>1</x:v>
      </x:c>
      <x:c r="D16" s="68" t="str">
        <x:v>fc-mobile</x:v>
      </x:c>
      <x:c r="E16" s="68" t="str">
        <x:v>Copa del Mundo · FC Mobile</x:v>
      </x:c>
      <x:c r="F16" s="68" t="str">
        <x:v>oficial</x:v>
      </x:c>
      <x:c r="G16" s="68" t="str">
        <x:v>48</x:v>
      </x:c>
      <x:c r="H16" s="68" t="str">
        <x:v>Por definir</x:v>
      </x:c>
      <x:c r="I16" s="68" t="str">
        <x:v>Por definir</x:v>
      </x:c>
      <x:c r="J16" s="68" t="str">
        <x:v>12 grupos de 4 → 2 primeros + 8 mejores terceros → Ronda de 32 → Final</x:v>
      </x:c>
      <x:c r="K16" s="68" t="str">
        <x:v>groups</x:v>
      </x:c>
      <x:c r="L16" s="68" t="str">
        <x:v>4</x:v>
      </x:c>
      <x:c r="M16" s="68" t="str">
        <x:v>2</x:v>
      </x:c>
      <x:c r="N16" s="68" t="str">
        <x:v>1</x:v>
      </x:c>
      <x:c r="O16" s="68" t="str">
        <x:v>assets/cups/official/copa-del-mundo.png</x:v>
      </x:c>
      <x:c r="P16" s="68" t="str">
        <x:v>assets/cups/official/copa-del-mundo.png</x:v>
      </x:c>
      <x:c r="Q16" s="68" t="str">
        <x:v>Por anunciar</x:v>
      </x:c>
      <x:c r="R16" s="68" t="str">
        <x:v>Por anunciar</x:v>
      </x:c>
      <x:c r="S16" s="68" t="str">
        <x:v>Por anunciar</x:v>
      </x:c>
      <x:c r="T16" s="68" t="str">
        <x:v>PROXIMAMENTE</x:v>
      </x:c>
      <x:c r="U16" s="68" t="str">
        <x:v>CERRADAS</x:v>
      </x:c>
      <x:c r="V16" s="68" t="str"/>
      <x:c r="W16" s="68" t="str"/>
      <x:c r="X16" s="68" t="str"/>
      <x:c r="Y16" s="68" t="str"/>
      <x:c r="Z16" s="68" t="str"/>
      <x:c r="AA16" s="68" t="str">
        <x:v>Formato mundial de 48 participantes: doce grupos de cuatro, avanzan los dos primeros de cada grupo y los ocho mejores terceros; desde la Ronda de 32 se juega eliminación directa.</x:v>
      </x:c>
      <x:c r="AB16" s="68" t="str">
        <x:v>NO</x:v>
      </x:c>
      <x:c r="AC16" s="68" t="str">
        <x:v>SI</x:v>
      </x:c>
      <x:c r="AD16" s="68" t="str"/>
      <x:c r="AE16" s="68" t="str"/>
      <x:c r="AF16" s="68" t="str"/>
      <x:c r="AG16" s="68" t="str"/>
      <x:c r="AH16" s="68" t="str"/>
    </x:row>
    <x:row r="17">
      <x:c r="A17" s="68" t="str">
        <x:v>fcm-uefa-champions-league</x:v>
      </x:c>
      <x:c r="B17" s="68" t="str">
        <x:v>fcm-official-uefa-champions-league</x:v>
      </x:c>
      <x:c r="C17" s="68" t="str">
        <x:v>1</x:v>
      </x:c>
      <x:c r="D17" s="68" t="str">
        <x:v>fc-mobile</x:v>
      </x:c>
      <x:c r="E17" s="68" t="str">
        <x:v>UEFA Champions League · FC Mobile</x:v>
      </x:c>
      <x:c r="F17" s="68" t="str">
        <x:v>oficial</x:v>
      </x:c>
      <x:c r="G17" s="68" t="str">
        <x:v>36</x:v>
      </x:c>
      <x:c r="H17" s="68" t="str">
        <x:v>Por definir</x:v>
      </x:c>
      <x:c r="I17" s="68" t="str">
        <x:v>Por definir</x:v>
      </x:c>
      <x:c r="J17" s="68" t="str">
        <x:v>Fase liga de 36 · 8 partidos c/u → Top 8 a octavos · 9.º–24.º play-off → Final</x:v>
      </x:c>
      <x:c r="K17" s="68" t="str">
        <x:v>league_phase</x:v>
      </x:c>
      <x:c r="L17" s="68" t="str">
        <x:v>4</x:v>
      </x:c>
      <x:c r="M17" s="68" t="str">
        <x:v>2</x:v>
      </x:c>
      <x:c r="N17" s="68" t="str">
        <x:v>1</x:v>
      </x:c>
      <x:c r="O17" s="68" t="str">
        <x:v>assets/cups/official/uefa-champions-league.png</x:v>
      </x:c>
      <x:c r="P17" s="68" t="str">
        <x:v>assets/cups/official/uefa-champions-league.png</x:v>
      </x:c>
      <x:c r="Q17" s="68" t="str">
        <x:v>Por anunciar</x:v>
      </x:c>
      <x:c r="R17" s="68" t="str">
        <x:v>Por anunciar</x:v>
      </x:c>
      <x:c r="S17" s="68" t="str">
        <x:v>Por anunciar</x:v>
      </x:c>
      <x:c r="T17" s="68" t="str">
        <x:v>PROXIMAMENTE</x:v>
      </x:c>
      <x:c r="U17" s="68" t="str">
        <x:v>CERRADAS</x:v>
      </x:c>
      <x:c r="V17" s="68" t="str"/>
      <x:c r="W17" s="68" t="str"/>
      <x:c r="X17" s="68" t="str"/>
      <x:c r="Y17" s="68" t="str"/>
      <x:c r="Z17" s="68" t="str"/>
      <x:c r="AA17" s="68" t="str">
        <x:v>Formato de fase liga: 36 participantes disputan ocho partidos ante rivales distintos; los ocho primeros avanzan a octavos y del 9.º al 24.º juegan un play-off previo.</x:v>
      </x:c>
      <x:c r="AB17" s="68" t="str">
        <x:v>NO</x:v>
      </x:c>
      <x:c r="AC17" s="68" t="str">
        <x:v>SI</x:v>
      </x:c>
      <x:c r="AD17" s="68" t="str"/>
      <x:c r="AE17" s="68" t="str"/>
      <x:c r="AF17" s="68" t="str"/>
      <x:c r="AG17" s="68" t="str"/>
      <x:c r="AH17" s="68" t="str"/>
    </x:row>
    <x:row r="18">
      <x:c r="A18" s="68" t="str">
        <x:v>fcm-copa-libertadores</x:v>
      </x:c>
      <x:c r="B18" s="68" t="str">
        <x:v>fcm-official-copa-libertadores</x:v>
      </x:c>
      <x:c r="C18" s="68" t="str">
        <x:v>1</x:v>
      </x:c>
      <x:c r="D18" s="68" t="str">
        <x:v>fc-mobile</x:v>
      </x:c>
      <x:c r="E18" s="68" t="str">
        <x:v>Copa Libertadores · FC Mobile</x:v>
      </x:c>
      <x:c r="F18" s="68" t="str">
        <x:v>oficial</x:v>
      </x:c>
      <x:c r="G18" s="68" t="str">
        <x:v>32</x:v>
      </x:c>
      <x:c r="H18" s="68" t="str">
        <x:v>Por definir</x:v>
      </x:c>
      <x:c r="I18" s="68" t="str">
        <x:v>Por definir</x:v>
      </x:c>
      <x:c r="J18" s="68" t="str">
        <x:v>8 grupos de 4 · solo ida → Octavos → Final</x:v>
      </x:c>
      <x:c r="K18" s="68" t="str">
        <x:v>groups</x:v>
      </x:c>
      <x:c r="L18" s="68" t="str">
        <x:v>4</x:v>
      </x:c>
      <x:c r="M18" s="68" t="str">
        <x:v>2</x:v>
      </x:c>
      <x:c r="N18" s="68" t="str">
        <x:v>1</x:v>
      </x:c>
      <x:c r="O18" s="68" t="str">
        <x:v>assets/cups/official/copa-libertadores.png</x:v>
      </x:c>
      <x:c r="P18" s="68" t="str">
        <x:v>assets/cups/official/copa-libertadores.png</x:v>
      </x:c>
      <x:c r="Q18" s="68" t="str">
        <x:v>Por anunciar</x:v>
      </x:c>
      <x:c r="R18" s="68" t="str">
        <x:v>Por anunciar</x:v>
      </x:c>
      <x:c r="S18" s="68" t="str">
        <x:v>Por anunciar</x:v>
      </x:c>
      <x:c r="T18" s="68" t="str">
        <x:v>PROXIMAMENTE</x:v>
      </x:c>
      <x:c r="U18" s="68" t="str">
        <x:v>CERRADAS</x:v>
      </x:c>
      <x:c r="V18" s="68" t="str"/>
      <x:c r="W18" s="68" t="str"/>
      <x:c r="X18" s="68" t="str"/>
      <x:c r="Y18" s="68" t="str"/>
      <x:c r="Z18" s="68" t="str"/>
      <x:c r="AA18" s="68" t="str">
        <x:v>Treinta y dos participantes en ocho grupos de cuatro, con un solo partido contra cada rival del grupo. Los dos primeros avanzan a octavos y continúan por eliminatorias a partido único.</x:v>
      </x:c>
      <x:c r="AB18" s="68" t="str">
        <x:v>NO</x:v>
      </x:c>
      <x:c r="AC18" s="68" t="str">
        <x:v>SI</x:v>
      </x:c>
      <x:c r="AD18" s="68" t="str"/>
      <x:c r="AE18" s="68" t="str"/>
      <x:c r="AF18" s="68" t="str"/>
      <x:c r="AG18" s="68" t="str"/>
      <x:c r="AH18" s="68" t="str"/>
    </x:row>
    <x:row r="19">
      <x:c r="A19" s="68" t="str">
        <x:v>fcm-eurocopa</x:v>
      </x:c>
      <x:c r="B19" s="68" t="str">
        <x:v>fcm-official-eurocopa</x:v>
      </x:c>
      <x:c r="C19" s="68" t="str">
        <x:v>1</x:v>
      </x:c>
      <x:c r="D19" s="68" t="str">
        <x:v>fc-mobile</x:v>
      </x:c>
      <x:c r="E19" s="68" t="str">
        <x:v>Eurocopa · FC Mobile</x:v>
      </x:c>
      <x:c r="F19" s="68" t="str">
        <x:v>oficial</x:v>
      </x:c>
      <x:c r="G19" s="68" t="str">
        <x:v>24</x:v>
      </x:c>
      <x:c r="H19" s="68" t="str">
        <x:v>Por definir</x:v>
      </x:c>
      <x:c r="I19" s="68" t="str">
        <x:v>Por definir</x:v>
      </x:c>
      <x:c r="J19" s="68" t="str">
        <x:v>6 grupos de 4 → 2 primeros + 4 mejores terceros → Octavos → Final</x:v>
      </x:c>
      <x:c r="K19" s="68" t="str">
        <x:v>groups</x:v>
      </x:c>
      <x:c r="L19" s="68" t="str">
        <x:v>4</x:v>
      </x:c>
      <x:c r="M19" s="68" t="str">
        <x:v>2</x:v>
      </x:c>
      <x:c r="N19" s="68" t="str">
        <x:v>1</x:v>
      </x:c>
      <x:c r="O19" s="68" t="str">
        <x:v>assets/cups/official/eurocopa.png</x:v>
      </x:c>
      <x:c r="P19" s="68" t="str">
        <x:v>assets/cups/official/eurocopa.png</x:v>
      </x:c>
      <x:c r="Q19" s="68" t="str">
        <x:v>Por anunciar</x:v>
      </x:c>
      <x:c r="R19" s="68" t="str">
        <x:v>Por anunciar</x:v>
      </x:c>
      <x:c r="S19" s="68" t="str">
        <x:v>Por anunciar</x:v>
      </x:c>
      <x:c r="T19" s="68" t="str">
        <x:v>PROXIMAMENTE</x:v>
      </x:c>
      <x:c r="U19" s="68" t="str">
        <x:v>CERRADAS</x:v>
      </x:c>
      <x:c r="V19" s="68" t="str"/>
      <x:c r="W19" s="68" t="str"/>
      <x:c r="X19" s="68" t="str"/>
      <x:c r="Y19" s="68" t="str"/>
      <x:c r="Z19" s="68" t="str"/>
      <x:c r="AA19" s="68" t="str">
        <x:v>Veinticuatro participantes en seis grupos de cuatro; avanzan los dos primeros de cada grupo y los cuatro mejores terceros a octavos de final.</x:v>
      </x:c>
      <x:c r="AB19" s="68" t="str">
        <x:v>NO</x:v>
      </x:c>
      <x:c r="AC19" s="68" t="str">
        <x:v>SI</x:v>
      </x:c>
      <x:c r="AD19" s="68" t="str"/>
      <x:c r="AE19" s="68" t="str"/>
      <x:c r="AF19" s="68" t="str"/>
      <x:c r="AG19" s="68" t="str"/>
      <x:c r="AH19" s="68" t="str"/>
    </x:row>
    <x:row r="20">
      <x:c r="A20" s="68" t="str">
        <x:v>fcm-copa-america</x:v>
      </x:c>
      <x:c r="B20" s="68" t="str">
        <x:v>fcm-official-copa-america</x:v>
      </x:c>
      <x:c r="C20" s="68" t="str">
        <x:v>1</x:v>
      </x:c>
      <x:c r="D20" s="68" t="str">
        <x:v>fc-mobile</x:v>
      </x:c>
      <x:c r="E20" s="68" t="str">
        <x:v>Copa América · FC Mobile</x:v>
      </x:c>
      <x:c r="F20" s="68" t="str">
        <x:v>oficial</x:v>
      </x:c>
      <x:c r="G20" s="68" t="str">
        <x:v>16</x:v>
      </x:c>
      <x:c r="H20" s="68" t="str">
        <x:v>Por definir</x:v>
      </x:c>
      <x:c r="I20" s="68" t="str">
        <x:v>Por definir</x:v>
      </x:c>
      <x:c r="J20" s="68" t="str">
        <x:v>4 grupos de 4 → Cuartos → Semifinal → Final</x:v>
      </x:c>
      <x:c r="K20" s="68" t="str">
        <x:v>groups</x:v>
      </x:c>
      <x:c r="L20" s="68" t="str">
        <x:v>4</x:v>
      </x:c>
      <x:c r="M20" s="68" t="str">
        <x:v>2</x:v>
      </x:c>
      <x:c r="N20" s="68" t="str">
        <x:v>1</x:v>
      </x:c>
      <x:c r="O20" s="68" t="str">
        <x:v>assets/cups/official/copa-america.png</x:v>
      </x:c>
      <x:c r="P20" s="68" t="str">
        <x:v>assets/cups/official/copa-america.png</x:v>
      </x:c>
      <x:c r="Q20" s="68" t="str">
        <x:v>Por anunciar</x:v>
      </x:c>
      <x:c r="R20" s="68" t="str">
        <x:v>Por anunciar</x:v>
      </x:c>
      <x:c r="S20" s="68" t="str">
        <x:v>Por anunciar</x:v>
      </x:c>
      <x:c r="T20" s="68" t="str">
        <x:v>PROXIMAMENTE</x:v>
      </x:c>
      <x:c r="U20" s="68" t="str">
        <x:v>CERRADAS</x:v>
      </x:c>
      <x:c r="V20" s="68" t="str"/>
      <x:c r="W20" s="68" t="str"/>
      <x:c r="X20" s="68" t="str"/>
      <x:c r="Y20" s="68" t="str"/>
      <x:c r="Z20" s="68" t="str"/>
      <x:c r="AA20" s="68" t="str">
        <x:v>Dieciséis participantes repartidos en cuatro grupos de cuatro. Los dos primeros de cada grupo avanzan a cuartos de final.</x:v>
      </x:c>
      <x:c r="AB20" s="68" t="str">
        <x:v>NO</x:v>
      </x:c>
      <x:c r="AC20" s="68" t="str">
        <x:v>SI</x:v>
      </x:c>
      <x:c r="AD20" s="68" t="str"/>
      <x:c r="AE20" s="68" t="str"/>
      <x:c r="AF20" s="68" t="str"/>
      <x:c r="AG20" s="68" t="str"/>
      <x:c r="AH20" s="68" t="str"/>
    </x:row>
    <x:row r="21">
      <x:c r="A21" s="68" t="str">
        <x:v>fcm-mundial-de-clubes</x:v>
      </x:c>
      <x:c r="B21" s="68" t="str">
        <x:v>fcm-official-mundial-de-clubes</x:v>
      </x:c>
      <x:c r="C21" s="68" t="str">
        <x:v>1</x:v>
      </x:c>
      <x:c r="D21" s="68" t="str">
        <x:v>fc-mobile</x:v>
      </x:c>
      <x:c r="E21" s="68" t="str">
        <x:v>Mundial de Clubes de la FIFA · FC Mobile</x:v>
      </x:c>
      <x:c r="F21" s="68" t="str">
        <x:v>oficial</x:v>
      </x:c>
      <x:c r="G21" s="68" t="str">
        <x:v>32</x:v>
      </x:c>
      <x:c r="H21" s="68" t="str">
        <x:v>Por definir</x:v>
      </x:c>
      <x:c r="I21" s="68" t="str">
        <x:v>Por definir</x:v>
      </x:c>
      <x:c r="J21" s="68" t="str">
        <x:v>8 grupos de 4 → Octavos → Cuartos → Semifinal → Final</x:v>
      </x:c>
      <x:c r="K21" s="68" t="str">
        <x:v>groups</x:v>
      </x:c>
      <x:c r="L21" s="68" t="str">
        <x:v>4</x:v>
      </x:c>
      <x:c r="M21" s="68" t="str">
        <x:v>2</x:v>
      </x:c>
      <x:c r="N21" s="68" t="str">
        <x:v>1</x:v>
      </x:c>
      <x:c r="O21" s="68" t="str">
        <x:v>assets/cups/official/mundial-de-clubes.png</x:v>
      </x:c>
      <x:c r="P21" s="68" t="str">
        <x:v>assets/cups/official/mundial-de-clubes.png</x:v>
      </x:c>
      <x:c r="Q21" s="68" t="str">
        <x:v>Por anunciar</x:v>
      </x:c>
      <x:c r="R21" s="68" t="str">
        <x:v>Por anunciar</x:v>
      </x:c>
      <x:c r="S21" s="68" t="str">
        <x:v>Por anunciar</x:v>
      </x:c>
      <x:c r="T21" s="68" t="str">
        <x:v>PROXIMAMENTE</x:v>
      </x:c>
      <x:c r="U21" s="68" t="str">
        <x:v>CERRADAS</x:v>
      </x:c>
      <x:c r="V21" s="68" t="str"/>
      <x:c r="W21" s="68" t="str"/>
      <x:c r="X21" s="68" t="str"/>
      <x:c r="Y21" s="68" t="str"/>
      <x:c r="Z21" s="68" t="str"/>
      <x:c r="AA21" s="68" t="str">
        <x:v>Treinta y dos clubes en ocho grupos de cuatro a una sola vuelta. Los dos mejores de cada grupo avanzan a octavos y desde allí se juega a eliminación directa.</x:v>
      </x:c>
      <x:c r="AB21" s="68" t="str">
        <x:v>NO</x:v>
      </x:c>
      <x:c r="AC21" s="68" t="str">
        <x:v>SI</x:v>
      </x:c>
      <x:c r="AD21" s="68" t="str"/>
      <x:c r="AE21" s="68" t="str"/>
      <x:c r="AF21" s="68" t="str"/>
      <x:c r="AG21" s="68" t="str"/>
      <x:c r="AH21" s="68" t="str"/>
    </x:row>
    <x:row r="22">
      <x:c r="A22" s="68" t="str">
        <x:v>fcm-premier-league</x:v>
      </x:c>
      <x:c r="B22" s="68" t="str">
        <x:v>fcm-official-premier-league</x:v>
      </x:c>
      <x:c r="C22" s="68" t="str">
        <x:v>1</x:v>
      </x:c>
      <x:c r="D22" s="68" t="str">
        <x:v>fc-mobile</x:v>
      </x:c>
      <x:c r="E22" s="68" t="str">
        <x:v>Premier League · FC Mobile</x:v>
      </x:c>
      <x:c r="F22" s="68" t="str">
        <x:v>oficial</x:v>
      </x:c>
      <x:c r="G22" s="68" t="str">
        <x:v>20</x:v>
      </x:c>
      <x:c r="H22" s="68" t="str">
        <x:v>Por definir</x:v>
      </x:c>
      <x:c r="I22" s="68" t="str">
        <x:v>Por definir</x:v>
      </x:c>
      <x:c r="J22" s="68" t="str">
        <x:v>Liga · 20 participantes · 19 jornadas · solo ida</x:v>
      </x:c>
      <x:c r="K22" s="68" t="str">
        <x:v>league</x:v>
      </x:c>
      <x:c r="L22" s="68" t="str">
        <x:v>4</x:v>
      </x:c>
      <x:c r="M22" s="68" t="str">
        <x:v>2</x:v>
      </x:c>
      <x:c r="N22" s="68" t="str">
        <x:v>1</x:v>
      </x:c>
      <x:c r="O22" s="68" t="str">
        <x:v>assets/cups/official/premier-league.png</x:v>
      </x:c>
      <x:c r="P22" s="68" t="str">
        <x:v>assets/cups/official/premier-league.png</x:v>
      </x:c>
      <x:c r="Q22" s="68" t="str">
        <x:v>Por anunciar</x:v>
      </x:c>
      <x:c r="R22" s="68" t="str">
        <x:v>Por anunciar</x:v>
      </x:c>
      <x:c r="S22" s="68" t="str">
        <x:v>Por anunciar</x:v>
      </x:c>
      <x:c r="T22" s="68" t="str">
        <x:v>PROXIMAMENTE</x:v>
      </x:c>
      <x:c r="U22" s="68" t="str">
        <x:v>CERRADAS</x:v>
      </x:c>
      <x:c r="V22" s="68" t="str"/>
      <x:c r="W22" s="68" t="str"/>
      <x:c r="X22" s="68" t="str"/>
      <x:c r="Y22" s="68" t="str"/>
      <x:c r="Z22" s="68" t="str"/>
      <x:c r="AA22" s="68" t="str">
        <x:v>Liga de veinte participantes a una sola vuelta. Cada participante disputa 19 partidos y el campeón se define por la tabla de puntos.</x:v>
      </x:c>
      <x:c r="AB22" s="68" t="str">
        <x:v>NO</x:v>
      </x:c>
      <x:c r="AC22" s="68" t="str">
        <x:v>SI</x:v>
      </x:c>
      <x:c r="AD22" s="68" t="str"/>
      <x:c r="AE22" s="68" t="str"/>
      <x:c r="AF22" s="68" t="str"/>
      <x:c r="AG22" s="68" t="str"/>
      <x:c r="AH22" s="68" t="str"/>
    </x:row>
    <x:row r="23">
      <x:c r="A23" s="68" t="str">
        <x:v>fcm-laliga</x:v>
      </x:c>
      <x:c r="B23" s="68" t="str">
        <x:v>fcm-official-laliga</x:v>
      </x:c>
      <x:c r="C23" s="68" t="str">
        <x:v>1</x:v>
      </x:c>
      <x:c r="D23" s="68" t="str">
        <x:v>fc-mobile</x:v>
      </x:c>
      <x:c r="E23" s="68" t="str">
        <x:v>LaLiga · FC Mobile</x:v>
      </x:c>
      <x:c r="F23" s="68" t="str">
        <x:v>oficial</x:v>
      </x:c>
      <x:c r="G23" s="68" t="str">
        <x:v>20</x:v>
      </x:c>
      <x:c r="H23" s="68" t="str">
        <x:v>Por definir</x:v>
      </x:c>
      <x:c r="I23" s="68" t="str">
        <x:v>Por definir</x:v>
      </x:c>
      <x:c r="J23" s="68" t="str">
        <x:v>Liga · 20 participantes · 19 jornadas · solo ida</x:v>
      </x:c>
      <x:c r="K23" s="68" t="str">
        <x:v>league</x:v>
      </x:c>
      <x:c r="L23" s="68" t="str">
        <x:v>4</x:v>
      </x:c>
      <x:c r="M23" s="68" t="str">
        <x:v>2</x:v>
      </x:c>
      <x:c r="N23" s="68" t="str">
        <x:v>1</x:v>
      </x:c>
      <x:c r="O23" s="68" t="str">
        <x:v>assets/cups/official/laliga.png</x:v>
      </x:c>
      <x:c r="P23" s="68" t="str">
        <x:v>assets/cups/official/laliga.png</x:v>
      </x:c>
      <x:c r="Q23" s="68" t="str">
        <x:v>Por anunciar</x:v>
      </x:c>
      <x:c r="R23" s="68" t="str">
        <x:v>Por anunciar</x:v>
      </x:c>
      <x:c r="S23" s="68" t="str">
        <x:v>Por anunciar</x:v>
      </x:c>
      <x:c r="T23" s="68" t="str">
        <x:v>PROXIMAMENTE</x:v>
      </x:c>
      <x:c r="U23" s="68" t="str">
        <x:v>CERRADAS</x:v>
      </x:c>
      <x:c r="V23" s="68" t="str"/>
      <x:c r="W23" s="68" t="str"/>
      <x:c r="X23" s="68" t="str"/>
      <x:c r="Y23" s="68" t="str"/>
      <x:c r="Z23" s="68" t="str"/>
      <x:c r="AA23" s="68" t="str">
        <x:v>Veinte participantes compiten en una sola vuelta durante 19 jornadas. Cada rival se enfrenta una sola vez y el primer lugar se corona campeón.</x:v>
      </x:c>
      <x:c r="AB23" s="68" t="str">
        <x:v>NO</x:v>
      </x:c>
      <x:c r="AC23" s="68" t="str">
        <x:v>SI</x:v>
      </x:c>
      <x:c r="AD23" s="68" t="str"/>
      <x:c r="AE23" s="68" t="str"/>
      <x:c r="AF23" s="68" t="str"/>
      <x:c r="AG23" s="68" t="str"/>
      <x:c r="AH23" s="68" t="str"/>
    </x:row>
    <x:row r="24">
      <x:c r="A24" s="68" t="str">
        <x:v>fcm-bundesliga</x:v>
      </x:c>
      <x:c r="B24" s="68" t="str">
        <x:v>fcm-official-bundesliga</x:v>
      </x:c>
      <x:c r="C24" s="68" t="str">
        <x:v>1</x:v>
      </x:c>
      <x:c r="D24" s="68" t="str">
        <x:v>fc-mobile</x:v>
      </x:c>
      <x:c r="E24" s="68" t="str">
        <x:v>Bundesliga · FC Mobile</x:v>
      </x:c>
      <x:c r="F24" s="68" t="str">
        <x:v>oficial</x:v>
      </x:c>
      <x:c r="G24" s="68" t="str">
        <x:v>18</x:v>
      </x:c>
      <x:c r="H24" s="68" t="str">
        <x:v>Por definir</x:v>
      </x:c>
      <x:c r="I24" s="68" t="str">
        <x:v>Por definir</x:v>
      </x:c>
      <x:c r="J24" s="68" t="str">
        <x:v>Liga · 18 participantes · 17 jornadas · solo ida</x:v>
      </x:c>
      <x:c r="K24" s="68" t="str">
        <x:v>league</x:v>
      </x:c>
      <x:c r="L24" s="68" t="str">
        <x:v>4</x:v>
      </x:c>
      <x:c r="M24" s="68" t="str">
        <x:v>2</x:v>
      </x:c>
      <x:c r="N24" s="68" t="str">
        <x:v>1</x:v>
      </x:c>
      <x:c r="O24" s="68" t="str">
        <x:v>assets/cups/official/bundesliga.png</x:v>
      </x:c>
      <x:c r="P24" s="68" t="str">
        <x:v>assets/cups/official/bundesliga.png</x:v>
      </x:c>
      <x:c r="Q24" s="68" t="str">
        <x:v>Por anunciar</x:v>
      </x:c>
      <x:c r="R24" s="68" t="str">
        <x:v>Por anunciar</x:v>
      </x:c>
      <x:c r="S24" s="68" t="str">
        <x:v>Por anunciar</x:v>
      </x:c>
      <x:c r="T24" s="68" t="str">
        <x:v>PROXIMAMENTE</x:v>
      </x:c>
      <x:c r="U24" s="68" t="str">
        <x:v>CERRADAS</x:v>
      </x:c>
      <x:c r="V24" s="68" t="str"/>
      <x:c r="W24" s="68" t="str"/>
      <x:c r="X24" s="68" t="str"/>
      <x:c r="Y24" s="68" t="str"/>
      <x:c r="Z24" s="68" t="str"/>
      <x:c r="AA24" s="68" t="str">
        <x:v>Dieciocho participantes a una sola vuelta, con 17 jornadas y clasificación por puntos. Cada rival se enfrenta una sola vez.</x:v>
      </x:c>
      <x:c r="AB24" s="68" t="str">
        <x:v>NO</x:v>
      </x:c>
      <x:c r="AC24" s="68" t="str">
        <x:v>SI</x:v>
      </x:c>
      <x:c r="AD24" s="68" t="str"/>
      <x:c r="AE24" s="68" t="str"/>
      <x:c r="AF24" s="68" t="str"/>
      <x:c r="AG24" s="68" t="str"/>
      <x:c r="AH24" s="68" t="str"/>
    </x:row>
    <x:row r="25">
      <x:c r="A25" s="68" t="str">
        <x:v>fcm-serie-a</x:v>
      </x:c>
      <x:c r="B25" s="68" t="str">
        <x:v>fcm-official-serie-a</x:v>
      </x:c>
      <x:c r="C25" s="68" t="str">
        <x:v>1</x:v>
      </x:c>
      <x:c r="D25" s="68" t="str">
        <x:v>fc-mobile</x:v>
      </x:c>
      <x:c r="E25" s="68" t="str">
        <x:v>Serie A · FC Mobile</x:v>
      </x:c>
      <x:c r="F25" s="68" t="str">
        <x:v>oficial</x:v>
      </x:c>
      <x:c r="G25" s="68" t="str">
        <x:v>20</x:v>
      </x:c>
      <x:c r="H25" s="68" t="str">
        <x:v>Por definir</x:v>
      </x:c>
      <x:c r="I25" s="68" t="str">
        <x:v>Por definir</x:v>
      </x:c>
      <x:c r="J25" s="68" t="str">
        <x:v>Liga · 20 participantes · 19 jornadas · solo ida</x:v>
      </x:c>
      <x:c r="K25" s="68" t="str">
        <x:v>league</x:v>
      </x:c>
      <x:c r="L25" s="68" t="str">
        <x:v>4</x:v>
      </x:c>
      <x:c r="M25" s="68" t="str">
        <x:v>2</x:v>
      </x:c>
      <x:c r="N25" s="68" t="str">
        <x:v>1</x:v>
      </x:c>
      <x:c r="O25" s="68" t="str">
        <x:v>assets/cups/official/serie-a.png</x:v>
      </x:c>
      <x:c r="P25" s="68" t="str">
        <x:v>assets/cups/official/serie-a.png</x:v>
      </x:c>
      <x:c r="Q25" s="68" t="str">
        <x:v>Por anunciar</x:v>
      </x:c>
      <x:c r="R25" s="68" t="str">
        <x:v>Por anunciar</x:v>
      </x:c>
      <x:c r="S25" s="68" t="str">
        <x:v>Por anunciar</x:v>
      </x:c>
      <x:c r="T25" s="68" t="str">
        <x:v>PROXIMAMENTE</x:v>
      </x:c>
      <x:c r="U25" s="68" t="str">
        <x:v>CERRADAS</x:v>
      </x:c>
      <x:c r="V25" s="68" t="str"/>
      <x:c r="W25" s="68" t="str"/>
      <x:c r="X25" s="68" t="str"/>
      <x:c r="Y25" s="68" t="str"/>
      <x:c r="Z25" s="68" t="str"/>
      <x:c r="AA25" s="68" t="str">
        <x:v>Veinte participantes disputan 19 jornadas a una sola vuelta; cada rival se enfrenta una sola vez y la clasificación final se determina por puntos.</x:v>
      </x:c>
      <x:c r="AB25" s="68" t="str">
        <x:v>NO</x:v>
      </x:c>
      <x:c r="AC25" s="68" t="str">
        <x:v>SI</x:v>
      </x:c>
      <x:c r="AD25" s="68" t="str"/>
      <x:c r="AE25" s="68" t="str"/>
      <x:c r="AF25" s="68" t="str"/>
      <x:c r="AG25" s="68" t="str"/>
      <x:c r="AH25" s="68" t="str"/>
    </x:row>
    <x:row r="26">
      <x:c r="A26" s="68" t="str">
        <x:v>fcm-liga-1-peru</x:v>
      </x:c>
      <x:c r="B26" s="68" t="str">
        <x:v>fcm-official-liga-1-peru</x:v>
      </x:c>
      <x:c r="C26" s="68" t="str">
        <x:v>1</x:v>
      </x:c>
      <x:c r="D26" s="68" t="str">
        <x:v>fc-mobile</x:v>
      </x:c>
      <x:c r="E26" s="68" t="str">
        <x:v>Liga 1 Perú · FC Mobile</x:v>
      </x:c>
      <x:c r="F26" s="68" t="str">
        <x:v>oficial</x:v>
      </x:c>
      <x:c r="G26" s="68" t="str">
        <x:v>18</x:v>
      </x:c>
      <x:c r="H26" s="68" t="str">
        <x:v>Por definir</x:v>
      </x:c>
      <x:c r="I26" s="68" t="str">
        <x:v>Por definir</x:v>
      </x:c>
      <x:c r="J26" s="68" t="str">
        <x:v>Liga · 18 participantes · 17 jornadas → Top 4 → Play-offs</x:v>
      </x:c>
      <x:c r="K26" s="68" t="str">
        <x:v>league_playoffs</x:v>
      </x:c>
      <x:c r="L26" s="68" t="str">
        <x:v>4</x:v>
      </x:c>
      <x:c r="M26" s="68" t="str">
        <x:v>2</x:v>
      </x:c>
      <x:c r="N26" s="68" t="str">
        <x:v>1</x:v>
      </x:c>
      <x:c r="O26" s="68" t="str">
        <x:v>assets/cups/official/liga-1-peru.png</x:v>
      </x:c>
      <x:c r="P26" s="68" t="str">
        <x:v>assets/cups/official/liga-1-peru.png</x:v>
      </x:c>
      <x:c r="Q26" s="68" t="str">
        <x:v>Por anunciar</x:v>
      </x:c>
      <x:c r="R26" s="68" t="str">
        <x:v>Por anunciar</x:v>
      </x:c>
      <x:c r="S26" s="68" t="str">
        <x:v>Por anunciar</x:v>
      </x:c>
      <x:c r="T26" s="68" t="str">
        <x:v>PROXIMAMENTE</x:v>
      </x:c>
      <x:c r="U26" s="68" t="str">
        <x:v>CERRADAS</x:v>
      </x:c>
      <x:c r="V26" s="68" t="str"/>
      <x:c r="W26" s="68" t="str"/>
      <x:c r="X26" s="68" t="str"/>
      <x:c r="Y26" s="68" t="str"/>
      <x:c r="Z26" s="68" t="str"/>
      <x:c r="AA26" s="68" t="str">
        <x:v>Liga de 18 participantes a una sola vuelta: 17 jornadas, cada rival se enfrenta una sola vez y los cuatro mejores avanzan a los play-offs por el título.</x:v>
      </x:c>
      <x:c r="AB26" s="68" t="str">
        <x:v>NO</x:v>
      </x:c>
      <x:c r="AC26" s="68" t="str">
        <x:v>SI</x:v>
      </x:c>
      <x:c r="AD26" s="68" t="str"/>
      <x:c r="AE26" s="68" t="str"/>
      <x:c r="AF26" s="68" t="str"/>
      <x:c r="AG26" s="68" t="str"/>
      <x:c r="AH26" s="68" t="str"/>
    </x:row>
    <x:row r="27">
      <x:c r="A27" s="68" t="str">
        <x:v>fcm-copa-del-rey</x:v>
      </x:c>
      <x:c r="B27" s="68" t="str">
        <x:v>fcm-official-copa-del-rey</x:v>
      </x:c>
      <x:c r="C27" s="68" t="str">
        <x:v>1</x:v>
      </x:c>
      <x:c r="D27" s="68" t="str">
        <x:v>fc-mobile</x:v>
      </x:c>
      <x:c r="E27" s="68" t="str">
        <x:v>Copa del Rey · FC Mobile</x:v>
      </x:c>
      <x:c r="F27" s="68" t="str">
        <x:v>oficial</x:v>
      </x:c>
      <x:c r="G27" s="68" t="str">
        <x:v>64</x:v>
      </x:c>
      <x:c r="H27" s="68" t="str">
        <x:v>Por definir</x:v>
      </x:c>
      <x:c r="I27" s="68" t="str">
        <x:v>Por definir</x:v>
      </x:c>
      <x:c r="J27" s="68" t="str">
        <x:v>64 participantes · eliminación directa a partido único → Final</x:v>
      </x:c>
      <x:c r="K27" s="68" t="str">
        <x:v>copa_rey</x:v>
      </x:c>
      <x:c r="L27" s="68" t="str">
        <x:v>4</x:v>
      </x:c>
      <x:c r="M27" s="68" t="str">
        <x:v>2</x:v>
      </x:c>
      <x:c r="N27" s="68" t="str">
        <x:v>1</x:v>
      </x:c>
      <x:c r="O27" s="68" t="str">
        <x:v>assets/cups/official/copa-del-rey.png</x:v>
      </x:c>
      <x:c r="P27" s="68" t="str">
        <x:v>assets/cups/official/copa-del-rey.png</x:v>
      </x:c>
      <x:c r="Q27" s="68" t="str">
        <x:v>Por anunciar</x:v>
      </x:c>
      <x:c r="R27" s="68" t="str">
        <x:v>Por anunciar</x:v>
      </x:c>
      <x:c r="S27" s="68" t="str">
        <x:v>Por anunciar</x:v>
      </x:c>
      <x:c r="T27" s="68" t="str">
        <x:v>PROXIMAMENTE</x:v>
      </x:c>
      <x:c r="U27" s="68" t="str">
        <x:v>CERRADAS</x:v>
      </x:c>
      <x:c r="V27" s="68" t="str"/>
      <x:c r="W27" s="68" t="str"/>
      <x:c r="X27" s="68" t="str"/>
      <x:c r="Y27" s="68" t="str"/>
      <x:c r="Z27" s="68" t="str"/>
      <x:c r="AA27" s="68" t="str">
        <x:v>Sesenta y cuatro participantes en un cuadro de eliminación directa. Todas las rondas se disputan a partido único hasta la final.</x:v>
      </x:c>
      <x:c r="AB27" s="68" t="str">
        <x:v>NO</x:v>
      </x:c>
      <x:c r="AC27" s="68" t="str">
        <x:v>SI</x:v>
      </x:c>
      <x:c r="AD27" s="68" t="str"/>
      <x:c r="AE27" s="68" t="str"/>
      <x:c r="AF27" s="68" t="str"/>
      <x:c r="AG27" s="68" t="str"/>
      <x:c r="AH27" s="68" t="str"/>
    </x:row>
    <x:row r="28">
      <x:c r="A28" s="68" t="str">
        <x:v>fcm-dfb-pokal</x:v>
      </x:c>
      <x:c r="B28" s="68" t="str">
        <x:v>fcm-official-dfb-pokal</x:v>
      </x:c>
      <x:c r="C28" s="68" t="str">
        <x:v>1</x:v>
      </x:c>
      <x:c r="D28" s="68" t="str">
        <x:v>fc-mobile</x:v>
      </x:c>
      <x:c r="E28" s="68" t="str">
        <x:v>Copa Alemana · DFB-Pokal · FC Mobile</x:v>
      </x:c>
      <x:c r="F28" s="68" t="str">
        <x:v>oficial</x:v>
      </x:c>
      <x:c r="G28" s="68" t="str">
        <x:v>64</x:v>
      </x:c>
      <x:c r="H28" s="68" t="str">
        <x:v>Por definir</x:v>
      </x:c>
      <x:c r="I28" s="68" t="str">
        <x:v>Por definir</x:v>
      </x:c>
      <x:c r="J28" s="68" t="str">
        <x:v>64 participantes · eliminación directa a partido único → Final</x:v>
      </x:c>
      <x:c r="K28" s="68" t="str">
        <x:v>knockout</x:v>
      </x:c>
      <x:c r="L28" s="68" t="str">
        <x:v>4</x:v>
      </x:c>
      <x:c r="M28" s="68" t="str">
        <x:v>2</x:v>
      </x:c>
      <x:c r="N28" s="68" t="str">
        <x:v>1</x:v>
      </x:c>
      <x:c r="O28" s="68" t="str">
        <x:v>assets/cups/official/dfb-pokal.png</x:v>
      </x:c>
      <x:c r="P28" s="68" t="str">
        <x:v>assets/cups/official/dfb-pokal.png</x:v>
      </x:c>
      <x:c r="Q28" s="68" t="str">
        <x:v>Por anunciar</x:v>
      </x:c>
      <x:c r="R28" s="68" t="str">
        <x:v>Por anunciar</x:v>
      </x:c>
      <x:c r="S28" s="68" t="str">
        <x:v>Por anunciar</x:v>
      </x:c>
      <x:c r="T28" s="68" t="str">
        <x:v>PROXIMAMENTE</x:v>
      </x:c>
      <x:c r="U28" s="68" t="str">
        <x:v>CERRADAS</x:v>
      </x:c>
      <x:c r="V28" s="68" t="str"/>
      <x:c r="W28" s="68" t="str"/>
      <x:c r="X28" s="68" t="str"/>
      <x:c r="Y28" s="68" t="str"/>
      <x:c r="Z28" s="68" t="str"/>
      <x:c r="AA28" s="68" t="str">
        <x:v>Sesenta y cuatro participantes en eliminación directa a partido único desde la primera ronda hasta la final.</x:v>
      </x:c>
      <x:c r="AB28" s="68" t="str">
        <x:v>NO</x:v>
      </x:c>
      <x:c r="AC28" s="68" t="str">
        <x:v>SI</x:v>
      </x:c>
      <x:c r="AD28" s="68" t="str"/>
      <x:c r="AE28" s="68" t="str"/>
      <x:c r="AF28" s="68" t="str"/>
      <x:c r="AG28" s="68" t="str"/>
      <x:c r="AH28" s="68" t="str"/>
    </x:row>
    <x:row r="29">
      <x:c r="A29" s="68" t="str">
        <x:v>ef-championship-64</x:v>
      </x:c>
      <x:c r="B29" s="68" t="str">
        <x:v>ef-comp-01</x:v>
      </x:c>
      <x:c r="C29" s="68" t="str">
        <x:v>1</x:v>
      </x:c>
      <x:c r="D29" s="68" t="str">
        <x:v>efootball</x:v>
      </x:c>
      <x:c r="E29" s="68" t="str">
        <x:v>GMAC Championship</x:v>
      </x:c>
      <x:c r="F29" s="68" t="str">
        <x:v>64</x:v>
      </x:c>
      <x:c r="G29" s="68" t="str">
        <x:v>64</x:v>
      </x:c>
      <x:c r="H29" s="68" t="str">
        <x:v>Por definir</x:v>
      </x:c>
      <x:c r="I29" s="68" t="str">
        <x:v>Por definir</x:v>
      </x:c>
      <x:c r="J29" s="68" t="str">
        <x:v>16 grupos de 4 → Ronda de 32 → Final</x:v>
      </x:c>
      <x:c r="K29" s="68" t="str">
        <x:v>groups</x:v>
      </x:c>
      <x:c r="L29" s="68" t="str">
        <x:v>4</x:v>
      </x:c>
      <x:c r="M29" s="68" t="str">
        <x:v>2</x:v>
      </x:c>
      <x:c r="N29" s="68" t="str">
        <x:v>1</x:v>
      </x:c>
      <x:c r="O29" s="68" t="str">
        <x:v>assets/cups/efootball/portadas/oficial-1.png</x:v>
      </x:c>
      <x:c r="P29" s="68" t="str">
        <x:v>assets/cups/efootball/fixture/oficial-1-minimalista.png</x:v>
      </x:c>
      <x:c r="Q29" s="68" t="str">
        <x:v>Por anunciar</x:v>
      </x:c>
      <x:c r="R29" s="68" t="str">
        <x:v>Por anunciar</x:v>
      </x:c>
      <x:c r="S29" s="68" t="str">
        <x:v>Por anunciar</x:v>
      </x:c>
      <x:c r="T29" s="68" t="str">
        <x:v>PROXIMAMENTE</x:v>
      </x:c>
      <x:c r="U29" s="68" t="str">
        <x:v>CERRADAS</x:v>
      </x:c>
      <x:c r="V29" s="68" t="str"/>
      <x:c r="W29" s="68" t="str"/>
      <x:c r="X29" s="68" t="str"/>
      <x:c r="Y29" s="68" t="str"/>
      <x:c r="Z29" s="68" t="str"/>
      <x:c r="AA29" s="68" t="str">
        <x:v>La máxima competición de eFootball de GMAC: 64 participantes, 16 grupos de cuatro y una fase eliminatoria de 32 clasificados.</x:v>
      </x:c>
      <x:c r="AB29" s="68" t="str">
        <x:v>NO</x:v>
      </x:c>
      <x:c r="AC29" s="68" t="str">
        <x:v>SI</x:v>
      </x:c>
      <x:c r="AD29" s="68" t="str"/>
      <x:c r="AE29" s="68" t="str"/>
      <x:c r="AF29" s="68" t="str"/>
      <x:c r="AG29" s="68" t="str"/>
      <x:c r="AH29" s="68" t="str"/>
    </x:row>
    <x:row r="30">
      <x:c r="A30" s="68" t="str">
        <x:v>ef-major-32</x:v>
      </x:c>
      <x:c r="B30" s="68" t="str">
        <x:v>ef-comp-02</x:v>
      </x:c>
      <x:c r="C30" s="68" t="str">
        <x:v>1</x:v>
      </x:c>
      <x:c r="D30" s="68" t="str">
        <x:v>efootball</x:v>
      </x:c>
      <x:c r="E30" s="68" t="str">
        <x:v>GMAC Major</x:v>
      </x:c>
      <x:c r="F30" s="68" t="str">
        <x:v>32</x:v>
      </x:c>
      <x:c r="G30" s="68" t="str">
        <x:v>32</x:v>
      </x:c>
      <x:c r="H30" s="68" t="str">
        <x:v>Por definir</x:v>
      </x:c>
      <x:c r="I30" s="68" t="str">
        <x:v>Por definir</x:v>
      </x:c>
      <x:c r="J30" s="68" t="str">
        <x:v>8 grupos de 4 → Octavos → Final</x:v>
      </x:c>
      <x:c r="K30" s="68" t="str">
        <x:v>groups</x:v>
      </x:c>
      <x:c r="L30" s="68" t="str">
        <x:v>4</x:v>
      </x:c>
      <x:c r="M30" s="68" t="str">
        <x:v>2</x:v>
      </x:c>
      <x:c r="N30" s="68" t="str">
        <x:v>1</x:v>
      </x:c>
      <x:c r="O30" s="68" t="str">
        <x:v>assets/cups/efootball/portadas/oficial-2.png</x:v>
      </x:c>
      <x:c r="P30" s="68" t="str">
        <x:v>assets/cups/efootball/fixture/oficial-2-minimalista.png</x:v>
      </x:c>
      <x:c r="Q30" s="68" t="str">
        <x:v>Por anunciar</x:v>
      </x:c>
      <x:c r="R30" s="68" t="str">
        <x:v>Por anunciar</x:v>
      </x:c>
      <x:c r="S30" s="68" t="str">
        <x:v>Por anunciar</x:v>
      </x:c>
      <x:c r="T30" s="68" t="str">
        <x:v>PROXIMAMENTE</x:v>
      </x:c>
      <x:c r="U30" s="68" t="str">
        <x:v>CERRADAS</x:v>
      </x:c>
      <x:c r="V30" s="68" t="str"/>
      <x:c r="W30" s="68" t="str"/>
      <x:c r="X30" s="68" t="str"/>
      <x:c r="Y30" s="68" t="str"/>
      <x:c r="Z30" s="68" t="str"/>
      <x:c r="AA30" s="68" t="str">
        <x:v>Un torneo de élite con 32 jugadores: ocho grupos de cuatro, dos clasificados por grupo y eliminatorias desde octavos.</x:v>
      </x:c>
      <x:c r="AB30" s="68" t="str">
        <x:v>NO</x:v>
      </x:c>
      <x:c r="AC30" s="68" t="str">
        <x:v>SI</x:v>
      </x:c>
      <x:c r="AD30" s="68" t="str"/>
      <x:c r="AE30" s="68" t="str"/>
      <x:c r="AF30" s="68" t="str"/>
      <x:c r="AG30" s="68" t="str"/>
      <x:c r="AH30" s="68" t="str"/>
    </x:row>
    <x:row r="31">
      <x:c r="A31" s="68" t="str">
        <x:v>ef-champions-32</x:v>
      </x:c>
      <x:c r="B31" s="68" t="str">
        <x:v>ef-comp-03</x:v>
      </x:c>
      <x:c r="C31" s="68" t="str">
        <x:v>1</x:v>
      </x:c>
      <x:c r="D31" s="68" t="str">
        <x:v>efootball</x:v>
      </x:c>
      <x:c r="E31" s="68" t="str">
        <x:v>GMAC Champions</x:v>
      </x:c>
      <x:c r="F31" s="68" t="str">
        <x:v>32</x:v>
      </x:c>
      <x:c r="G31" s="68" t="str">
        <x:v>32</x:v>
      </x:c>
      <x:c r="H31" s="68" t="str">
        <x:v>Por definir</x:v>
      </x:c>
      <x:c r="I31" s="68" t="str">
        <x:v>Por definir</x:v>
      </x:c>
      <x:c r="J31" s="68" t="str">
        <x:v>8 grupos de 4 → Octavos → Final</x:v>
      </x:c>
      <x:c r="K31" s="68" t="str">
        <x:v>groups</x:v>
      </x:c>
      <x:c r="L31" s="68" t="str">
        <x:v>4</x:v>
      </x:c>
      <x:c r="M31" s="68" t="str">
        <x:v>2</x:v>
      </x:c>
      <x:c r="N31" s="68" t="str">
        <x:v>1</x:v>
      </x:c>
      <x:c r="O31" s="68" t="str">
        <x:v>assets/cups/efootball/portadas/oficial-3.png</x:v>
      </x:c>
      <x:c r="P31" s="68" t="str">
        <x:v>assets/cups/efootball/fixture/oficial-3-minimalista.png</x:v>
      </x:c>
      <x:c r="Q31" s="68" t="str">
        <x:v>Por anunciar</x:v>
      </x:c>
      <x:c r="R31" s="68" t="str">
        <x:v>Por anunciar</x:v>
      </x:c>
      <x:c r="S31" s="68" t="str">
        <x:v>Por anunciar</x:v>
      </x:c>
      <x:c r="T31" s="68" t="str">
        <x:v>PROXIMAMENTE</x:v>
      </x:c>
      <x:c r="U31" s="68" t="str">
        <x:v>CERRADAS</x:v>
      </x:c>
      <x:c r="V31" s="68" t="str"/>
      <x:c r="W31" s="68" t="str"/>
      <x:c r="X31" s="68" t="str"/>
      <x:c r="Y31" s="68" t="str"/>
      <x:c r="Z31" s="68" t="str"/>
      <x:c r="AA31" s="68" t="str">
        <x:v>Una edición grande con 32 participantes, fase de grupos y rondas decisivas hasta coronar al campeón.</x:v>
      </x:c>
      <x:c r="AB31" s="68" t="str">
        <x:v>NO</x:v>
      </x:c>
      <x:c r="AC31" s="68" t="str">
        <x:v>SI</x:v>
      </x:c>
      <x:c r="AD31" s="68" t="str"/>
      <x:c r="AE31" s="68" t="str"/>
      <x:c r="AF31" s="68" t="str"/>
      <x:c r="AG31" s="68" t="str"/>
      <x:c r="AH31" s="68" t="str"/>
    </x:row>
    <x:row r="32">
      <x:c r="A32" s="68" t="str">
        <x:v>ef-liga-16</x:v>
      </x:c>
      <x:c r="B32" s="68" t="str">
        <x:v>ef-comp-04</x:v>
      </x:c>
      <x:c r="C32" s="68" t="str">
        <x:v>1</x:v>
      </x:c>
      <x:c r="D32" s="68" t="str">
        <x:v>efootball</x:v>
      </x:c>
      <x:c r="E32" s="68" t="str">
        <x:v>Liga GMAC</x:v>
      </x:c>
      <x:c r="F32" s="68" t="str">
        <x:v>16</x:v>
      </x:c>
      <x:c r="G32" s="68" t="str">
        <x:v>16</x:v>
      </x:c>
      <x:c r="H32" s="68" t="str">
        <x:v>Por definir</x:v>
      </x:c>
      <x:c r="I32" s="68" t="str">
        <x:v>Por definir</x:v>
      </x:c>
      <x:c r="J32" s="68" t="str">
        <x:v>Liga · 15 jornadas · todos contra todos</x:v>
      </x:c>
      <x:c r="K32" s="68" t="str">
        <x:v>league</x:v>
      </x:c>
      <x:c r="L32" s="68" t="str"/>
      <x:c r="M32" s="68" t="str"/>
      <x:c r="N32" s="68" t="str">
        <x:v>1</x:v>
      </x:c>
      <x:c r="O32" s="68" t="str">
        <x:v>assets/cups/efootball/portadas/oficial-4.png</x:v>
      </x:c>
      <x:c r="P32" s="68" t="str">
        <x:v>assets/cups/efootball/fixture/oficial-4-minimalista.png</x:v>
      </x:c>
      <x:c r="Q32" s="68" t="str">
        <x:v>Por anunciar</x:v>
      </x:c>
      <x:c r="R32" s="68" t="str">
        <x:v>Por anunciar</x:v>
      </x:c>
      <x:c r="S32" s="68" t="str">
        <x:v>Por anunciar</x:v>
      </x:c>
      <x:c r="T32" s="68" t="str">
        <x:v>PROXIMAMENTE</x:v>
      </x:c>
      <x:c r="U32" s="68" t="str">
        <x:v>CERRADAS</x:v>
      </x:c>
      <x:c r="V32" s="68" t="str"/>
      <x:c r="W32" s="68" t="str"/>
      <x:c r="X32" s="68" t="str"/>
      <x:c r="Y32" s="68" t="str"/>
      <x:c r="Z32" s="68" t="str"/>
      <x:c r="AA32" s="68" t="str">
        <x:v>Dieciséis jugadores se enfrentan todos contra todos. La tabla se define por puntos tras 15 jornadas por participante.</x:v>
      </x:c>
      <x:c r="AB32" s="68" t="str">
        <x:v>NO</x:v>
      </x:c>
      <x:c r="AC32" s="68" t="str">
        <x:v>SI</x:v>
      </x:c>
      <x:c r="AD32" s="68" t="str"/>
      <x:c r="AE32" s="68" t="str"/>
      <x:c r="AF32" s="68" t="str"/>
      <x:c r="AG32" s="68" t="str"/>
      <x:c r="AH32" s="68" t="str"/>
    </x:row>
    <x:row r="33">
      <x:c r="A33" s="68" t="str">
        <x:v>ef-masters-16</x:v>
      </x:c>
      <x:c r="B33" s="68" t="str">
        <x:v>ef-comp-05</x:v>
      </x:c>
      <x:c r="C33" s="68" t="str">
        <x:v>1</x:v>
      </x:c>
      <x:c r="D33" s="68" t="str">
        <x:v>efootball</x:v>
      </x:c>
      <x:c r="E33" s="68" t="str">
        <x:v>Masters eFootball</x:v>
      </x:c>
      <x:c r="F33" s="68" t="str">
        <x:v>16</x:v>
      </x:c>
      <x:c r="G33" s="68" t="str">
        <x:v>16</x:v>
      </x:c>
      <x:c r="H33" s="68" t="str">
        <x:v>Por definir</x:v>
      </x:c>
      <x:c r="I33" s="68" t="str">
        <x:v>Por definir</x:v>
      </x:c>
      <x:c r="J33" s="68" t="str">
        <x:v>Octavos → Cuartos → Semifinal → Final</x:v>
      </x:c>
      <x:c r="K33" s="68" t="str">
        <x:v>knockout</x:v>
      </x:c>
      <x:c r="L33" s="68" t="str"/>
      <x:c r="M33" s="68" t="str"/>
      <x:c r="N33" s="68" t="str">
        <x:v>1</x:v>
      </x:c>
      <x:c r="O33" s="68" t="str">
        <x:v>assets/cups/efootball/portadas/oficial-5.png</x:v>
      </x:c>
      <x:c r="P33" s="68" t="str">
        <x:v>assets/cups/efootball/fixture/oficial-5-minimalista.png</x:v>
      </x:c>
      <x:c r="Q33" s="68" t="str">
        <x:v>Por anunciar</x:v>
      </x:c>
      <x:c r="R33" s="68" t="str">
        <x:v>Por anunciar</x:v>
      </x:c>
      <x:c r="S33" s="68" t="str">
        <x:v>Por anunciar</x:v>
      </x:c>
      <x:c r="T33" s="68" t="str">
        <x:v>PROXIMAMENTE</x:v>
      </x:c>
      <x:c r="U33" s="68" t="str">
        <x:v>CERRADAS</x:v>
      </x:c>
      <x:c r="V33" s="68" t="str"/>
      <x:c r="W33" s="68" t="str"/>
      <x:c r="X33" s="68" t="str"/>
      <x:c r="Y33" s="68" t="str"/>
      <x:c r="Z33" s="68" t="str"/>
      <x:c r="AA33" s="68" t="str">
        <x:v>Copa de nivel alto para 16 participantes con eliminación directa hasta la gran final.</x:v>
      </x:c>
      <x:c r="AB33" s="68" t="str">
        <x:v>NO</x:v>
      </x:c>
      <x:c r="AC33" s="68" t="str">
        <x:v>SI</x:v>
      </x:c>
      <x:c r="AD33" s="68" t="str"/>
      <x:c r="AE33" s="68" t="str"/>
      <x:c r="AF33" s="68" t="str"/>
      <x:c r="AG33" s="68" t="str"/>
      <x:c r="AH33" s="68" t="str"/>
    </x:row>
    <x:row r="34">
      <x:c r="A34" s="68" t="str">
        <x:v>ef-supercopa-8</x:v>
      </x:c>
      <x:c r="B34" s="68" t="str">
        <x:v>ef-comp-06</x:v>
      </x:c>
      <x:c r="C34" s="68" t="str">
        <x:v>1</x:v>
      </x:c>
      <x:c r="D34" s="68" t="str">
        <x:v>efootball</x:v>
      </x:c>
      <x:c r="E34" s="68" t="str">
        <x:v>Supercopa eFootball</x:v>
      </x:c>
      <x:c r="F34" s="68" t="str">
        <x:v>8</x:v>
      </x:c>
      <x:c r="G34" s="68" t="str">
        <x:v>8</x:v>
      </x:c>
      <x:c r="H34" s="68" t="str">
        <x:v>Por definir</x:v>
      </x:c>
      <x:c r="I34" s="68" t="str">
        <x:v>Por definir</x:v>
      </x:c>
      <x:c r="J34" s="68" t="str">
        <x:v>Cuartos → Semifinal → Final</x:v>
      </x:c>
      <x:c r="K34" s="68" t="str">
        <x:v>knockout</x:v>
      </x:c>
      <x:c r="L34" s="68" t="str"/>
      <x:c r="M34" s="68" t="str"/>
      <x:c r="N34" s="68" t="str">
        <x:v>1</x:v>
      </x:c>
      <x:c r="O34" s="68" t="str">
        <x:v>assets/cups/efootball/portadas/oficial-6.png</x:v>
      </x:c>
      <x:c r="P34" s="68" t="str">
        <x:v>assets/cups/efootball/fixture/oficial-6-minimalista.png</x:v>
      </x:c>
      <x:c r="Q34" s="68" t="str">
        <x:v>Por anunciar</x:v>
      </x:c>
      <x:c r="R34" s="68" t="str">
        <x:v>Por anunciar</x:v>
      </x:c>
      <x:c r="S34" s="68" t="str">
        <x:v>Por anunciar</x:v>
      </x:c>
      <x:c r="T34" s="68" t="str">
        <x:v>PROXIMAMENTE</x:v>
      </x:c>
      <x:c r="U34" s="68" t="str">
        <x:v>CERRADAS</x:v>
      </x:c>
      <x:c r="V34" s="68" t="str"/>
      <x:c r="W34" s="68" t="str"/>
      <x:c r="X34" s="68" t="str"/>
      <x:c r="Y34" s="68" t="str"/>
      <x:c r="Z34" s="68" t="str"/>
      <x:c r="AA34" s="68" t="str">
        <x:v>Una supercopa compacta de ocho jugadores, ideal para campeones, invitados o una edición premium.</x:v>
      </x:c>
      <x:c r="AB34" s="68" t="str">
        <x:v>NO</x:v>
      </x:c>
      <x:c r="AC34" s="68" t="str">
        <x:v>SI</x:v>
      </x:c>
      <x:c r="AD34" s="68" t="str"/>
      <x:c r="AE34" s="68" t="str"/>
      <x:c r="AF34" s="68" t="str"/>
      <x:c r="AG34" s="68" t="str"/>
      <x:c r="AH34" s="68" t="str"/>
    </x:row>
    <x:row r="35">
      <x:c r="A35" s="68" t="str">
        <x:v>ef-relampago-pro-8</x:v>
      </x:c>
      <x:c r="B35" s="68" t="str">
        <x:v>ef-relampago-pro</x:v>
      </x:c>
      <x:c r="C35" s="68" t="str">
        <x:v>1</x:v>
      </x:c>
      <x:c r="D35" s="68" t="str">
        <x:v>efootball</x:v>
      </x:c>
      <x:c r="E35" s="68" t="str">
        <x:v>eFootball Pro Cup</x:v>
      </x:c>
      <x:c r="F35" s="68" t="str">
        <x:v>relampago</x:v>
      </x:c>
      <x:c r="G35" s="68" t="str">
        <x:v>8</x:v>
      </x:c>
      <x:c r="H35" s="68" t="str">
        <x:v>Por definir</x:v>
      </x:c>
      <x:c r="I35" s="68" t="str">
        <x:v>Por definir</x:v>
      </x:c>
      <x:c r="J35" s="68" t="str">
        <x:v>Cuartos → Semifinal → Final · partido único</x:v>
      </x:c>
      <x:c r="K35" s="68" t="str">
        <x:v>knockout</x:v>
      </x:c>
      <x:c r="L35" s="68" t="str"/>
      <x:c r="M35" s="68" t="str"/>
      <x:c r="N35" s="68" t="str">
        <x:v>1</x:v>
      </x:c>
      <x:c r="O35" s="68" t="str">
        <x:v>assets/cups/efootball/relampagos-oficiales/pro-cup.png</x:v>
      </x:c>
      <x:c r="P35" s="68" t="str">
        <x:v>assets/cups/efootball/relampagos-oficiales/pro-cup.png</x:v>
      </x:c>
      <x:c r="Q35" s="68" t="str">
        <x:v>Por anunciar</x:v>
      </x:c>
      <x:c r="R35" s="68" t="str">
        <x:v>Por anunciar</x:v>
      </x:c>
      <x:c r="S35" s="68" t="str">
        <x:v>Por anunciar</x:v>
      </x:c>
      <x:c r="T35" s="68" t="str">
        <x:v>PROXIMAMENTE</x:v>
      </x:c>
      <x:c r="U35" s="68" t="str">
        <x:v>CERRADAS</x:v>
      </x:c>
      <x:c r="V35" s="68" t="str"/>
      <x:c r="W35" s="68" t="str"/>
      <x:c r="X35" s="68" t="str"/>
      <x:c r="Y35" s="68" t="str"/>
      <x:c r="Z35" s="68" t="str"/>
      <x:c r="AA35" s="68" t="str">
        <x:v>Serie Pro oficial de eFootball para ocho participantes.</x:v>
      </x:c>
      <x:c r="AB35" s="68" t="str">
        <x:v>SI</x:v>
      </x:c>
      <x:c r="AC35" s="68" t="str">
        <x:v>SI</x:v>
      </x:c>
      <x:c r="AD35" s="68" t="str"/>
      <x:c r="AE35" s="68" t="str"/>
      <x:c r="AF35" s="68" t="str"/>
      <x:c r="AG35" s="68" t="str"/>
      <x:c r="AH35" s="68" t="str"/>
    </x:row>
    <x:row r="36">
      <x:c r="A36" s="68" t="str">
        <x:v>ef-relampago-evolution-8</x:v>
      </x:c>
      <x:c r="B36" s="68" t="str">
        <x:v>ef-relampago-evolution</x:v>
      </x:c>
      <x:c r="C36" s="68" t="str">
        <x:v>1</x:v>
      </x:c>
      <x:c r="D36" s="68" t="str">
        <x:v>efootball</x:v>
      </x:c>
      <x:c r="E36" s="68" t="str">
        <x:v>eFootball Evolution Cup</x:v>
      </x:c>
      <x:c r="F36" s="68" t="str">
        <x:v>relampago</x:v>
      </x:c>
      <x:c r="G36" s="68" t="str">
        <x:v>8</x:v>
      </x:c>
      <x:c r="H36" s="68" t="str">
        <x:v>Por definir</x:v>
      </x:c>
      <x:c r="I36" s="68" t="str">
        <x:v>Por definir</x:v>
      </x:c>
      <x:c r="J36" s="68" t="str">
        <x:v>Cuartos → Semifinal → Final · partido único</x:v>
      </x:c>
      <x:c r="K36" s="68" t="str">
        <x:v>knockout</x:v>
      </x:c>
      <x:c r="L36" s="68" t="str"/>
      <x:c r="M36" s="68" t="str"/>
      <x:c r="N36" s="68" t="str">
        <x:v>1</x:v>
      </x:c>
      <x:c r="O36" s="68" t="str">
        <x:v>assets/cups/efootball/relampagos-oficiales/evolution-cup.png</x:v>
      </x:c>
      <x:c r="P36" s="68" t="str">
        <x:v>assets/cups/efootball/relampagos-oficiales/evolution-cup.png</x:v>
      </x:c>
      <x:c r="Q36" s="68" t="str">
        <x:v>Por anunciar</x:v>
      </x:c>
      <x:c r="R36" s="68" t="str">
        <x:v>Por anunciar</x:v>
      </x:c>
      <x:c r="S36" s="68" t="str">
        <x:v>Por anunciar</x:v>
      </x:c>
      <x:c r="T36" s="68" t="str">
        <x:v>PROXIMAMENTE</x:v>
      </x:c>
      <x:c r="U36" s="68" t="str">
        <x:v>CERRADAS</x:v>
      </x:c>
      <x:c r="V36" s="68" t="str"/>
      <x:c r="W36" s="68" t="str"/>
      <x:c r="X36" s="68" t="str"/>
      <x:c r="Y36" s="68" t="str"/>
      <x:c r="Z36" s="68" t="str"/>
      <x:c r="AA36" s="68" t="str">
        <x:v>Relámpago oficial de ocho jugadores inspirado en la evolución competitiva de eFootball.</x:v>
      </x:c>
      <x:c r="AB36" s="68" t="str">
        <x:v>NO</x:v>
      </x:c>
      <x:c r="AC36" s="68" t="str">
        <x:v>SI</x:v>
      </x:c>
      <x:c r="AD36" s="68" t="str"/>
      <x:c r="AE36" s="68" t="str"/>
      <x:c r="AF36" s="68" t="str"/>
      <x:c r="AG36" s="68" t="str"/>
      <x:c r="AH36" s="68" t="str"/>
    </x:row>
    <x:row r="37">
      <x:c r="A37" s="68" t="str">
        <x:v>ef-relampago-elite-8</x:v>
      </x:c>
      <x:c r="B37" s="68" t="str">
        <x:v>ef-relampago-elite</x:v>
      </x:c>
      <x:c r="C37" s="68" t="str">
        <x:v>1</x:v>
      </x:c>
      <x:c r="D37" s="68" t="str">
        <x:v>efootball</x:v>
      </x:c>
      <x:c r="E37" s="68" t="str">
        <x:v>eFootball Elite Cup</x:v>
      </x:c>
      <x:c r="F37" s="68" t="str">
        <x:v>relampago</x:v>
      </x:c>
      <x:c r="G37" s="68" t="str">
        <x:v>8</x:v>
      </x:c>
      <x:c r="H37" s="68" t="str">
        <x:v>Por definir</x:v>
      </x:c>
      <x:c r="I37" s="68" t="str">
        <x:v>Por definir</x:v>
      </x:c>
      <x:c r="J37" s="68" t="str">
        <x:v>Cuartos → Semifinal → Final · partido único</x:v>
      </x:c>
      <x:c r="K37" s="68" t="str">
        <x:v>knockout</x:v>
      </x:c>
      <x:c r="L37" s="68" t="str"/>
      <x:c r="M37" s="68" t="str"/>
      <x:c r="N37" s="68" t="str">
        <x:v>1</x:v>
      </x:c>
      <x:c r="O37" s="68" t="str">
        <x:v>assets/cups/efootball/relampagos-oficiales/elite-cup.png</x:v>
      </x:c>
      <x:c r="P37" s="68" t="str">
        <x:v>assets/cups/efootball/relampagos-oficiales/elite-cup.png</x:v>
      </x:c>
      <x:c r="Q37" s="68" t="str">
        <x:v>Por anunciar</x:v>
      </x:c>
      <x:c r="R37" s="68" t="str">
        <x:v>Por anunciar</x:v>
      </x:c>
      <x:c r="S37" s="68" t="str">
        <x:v>Por anunciar</x:v>
      </x:c>
      <x:c r="T37" s="68" t="str">
        <x:v>PROXIMAMENTE</x:v>
      </x:c>
      <x:c r="U37" s="68" t="str">
        <x:v>CERRADAS</x:v>
      </x:c>
      <x:c r="V37" s="68" t="str"/>
      <x:c r="W37" s="68" t="str"/>
      <x:c r="X37" s="68" t="str"/>
      <x:c r="Y37" s="68" t="str"/>
      <x:c r="Z37" s="68" t="str"/>
      <x:c r="AA37" s="68" t="str">
        <x:v>Copa Elite oficial de eFootball para ocho participantes y eliminación directa.</x:v>
      </x:c>
      <x:c r="AB37" s="68" t="str">
        <x:v>NO</x:v>
      </x:c>
      <x:c r="AC37" s="68" t="str">
        <x:v>SI</x:v>
      </x:c>
      <x:c r="AD37" s="68" t="str"/>
      <x:c r="AE37" s="68" t="str"/>
      <x:c r="AF37" s="68" t="str"/>
      <x:c r="AG37" s="68" t="str"/>
      <x:c r="AH37" s="68" t="str"/>
    </x:row>
    <x:row r="38">
      <x:c r="A38" s="68" t="str">
        <x:v>ef-relampago-crystal-8</x:v>
      </x:c>
      <x:c r="B38" s="68" t="str">
        <x:v>ef-relampago-crystal</x:v>
      </x:c>
      <x:c r="C38" s="68" t="str">
        <x:v>1</x:v>
      </x:c>
      <x:c r="D38" s="68" t="str">
        <x:v>efootball</x:v>
      </x:c>
      <x:c r="E38" s="68" t="str">
        <x:v>eFootball Crystal Cup</x:v>
      </x:c>
      <x:c r="F38" s="68" t="str">
        <x:v>relampago</x:v>
      </x:c>
      <x:c r="G38" s="68" t="str">
        <x:v>8</x:v>
      </x:c>
      <x:c r="H38" s="68" t="str">
        <x:v>Por definir</x:v>
      </x:c>
      <x:c r="I38" s="68" t="str">
        <x:v>Por definir</x:v>
      </x:c>
      <x:c r="J38" s="68" t="str">
        <x:v>Cuartos → Semifinal → Final · partido único</x:v>
      </x:c>
      <x:c r="K38" s="68" t="str">
        <x:v>knockout</x:v>
      </x:c>
      <x:c r="L38" s="68" t="str"/>
      <x:c r="M38" s="68" t="str"/>
      <x:c r="N38" s="68" t="str">
        <x:v>1</x:v>
      </x:c>
      <x:c r="O38" s="68" t="str">
        <x:v>assets/cups/efootball/relampagos-oficiales/crystal-cup.png</x:v>
      </x:c>
      <x:c r="P38" s="68" t="str">
        <x:v>assets/cups/efootball/relampagos-oficiales/crystal-cup.png</x:v>
      </x:c>
      <x:c r="Q38" s="68" t="str">
        <x:v>Por anunciar</x:v>
      </x:c>
      <x:c r="R38" s="68" t="str">
        <x:v>Por anunciar</x:v>
      </x:c>
      <x:c r="S38" s="68" t="str">
        <x:v>Por anunciar</x:v>
      </x:c>
      <x:c r="T38" s="68" t="str">
        <x:v>PROXIMAMENTE</x:v>
      </x:c>
      <x:c r="U38" s="68" t="str">
        <x:v>CERRADAS</x:v>
      </x:c>
      <x:c r="V38" s="68" t="str"/>
      <x:c r="W38" s="68" t="str"/>
      <x:c r="X38" s="68" t="str"/>
      <x:c r="Y38" s="68" t="str"/>
      <x:c r="Z38" s="68" t="str"/>
      <x:c r="AA38" s="68" t="str">
        <x:v>Edición Crystal oficial de eFootball, compacta y a partido único.</x:v>
      </x:c>
      <x:c r="AB38" s="68" t="str">
        <x:v>NO</x:v>
      </x:c>
      <x:c r="AC38" s="68" t="str">
        <x:v>SI</x:v>
      </x:c>
      <x:c r="AD38" s="68" t="str"/>
      <x:c r="AE38" s="68" t="str"/>
      <x:c r="AF38" s="68" t="str"/>
      <x:c r="AG38" s="68" t="str"/>
      <x:c r="AH38" s="68" t="str"/>
    </x:row>
    <x:row r="39">
      <x:c r="A39" s="68" t="str">
        <x:v>ef-relampago-champions-8</x:v>
      </x:c>
      <x:c r="B39" s="68" t="str">
        <x:v>ef-relampago-champions</x:v>
      </x:c>
      <x:c r="C39" s="68" t="str">
        <x:v>1</x:v>
      </x:c>
      <x:c r="D39" s="68" t="str">
        <x:v>efootball</x:v>
      </x:c>
      <x:c r="E39" s="68" t="str">
        <x:v>eFootball Champions Cup</x:v>
      </x:c>
      <x:c r="F39" s="68" t="str">
        <x:v>relampago</x:v>
      </x:c>
      <x:c r="G39" s="68" t="str">
        <x:v>8</x:v>
      </x:c>
      <x:c r="H39" s="68" t="str">
        <x:v>Por definir</x:v>
      </x:c>
      <x:c r="I39" s="68" t="str">
        <x:v>Por definir</x:v>
      </x:c>
      <x:c r="J39" s="68" t="str">
        <x:v>Cuartos → Semifinal → Final · partido único</x:v>
      </x:c>
      <x:c r="K39" s="68" t="str">
        <x:v>knockout</x:v>
      </x:c>
      <x:c r="L39" s="68" t="str"/>
      <x:c r="M39" s="68" t="str"/>
      <x:c r="N39" s="68" t="str">
        <x:v>1</x:v>
      </x:c>
      <x:c r="O39" s="68" t="str">
        <x:v>assets/cups/efootball/relampagos-oficiales/champions-cup.png</x:v>
      </x:c>
      <x:c r="P39" s="68" t="str">
        <x:v>assets/cups/efootball/relampagos-oficiales/champions-cup.png</x:v>
      </x:c>
      <x:c r="Q39" s="68" t="str">
        <x:v>Por anunciar</x:v>
      </x:c>
      <x:c r="R39" s="68" t="str">
        <x:v>Por anunciar</x:v>
      </x:c>
      <x:c r="S39" s="68" t="str">
        <x:v>Por anunciar</x:v>
      </x:c>
      <x:c r="T39" s="68" t="str">
        <x:v>PROXIMAMENTE</x:v>
      </x:c>
      <x:c r="U39" s="68" t="str">
        <x:v>CERRADAS</x:v>
      </x:c>
      <x:c r="V39" s="68" t="str"/>
      <x:c r="W39" s="68" t="str"/>
      <x:c r="X39" s="68" t="str"/>
      <x:c r="Y39" s="68" t="str"/>
      <x:c r="Z39" s="68" t="str"/>
      <x:c r="AA39" s="68" t="str">
        <x:v>Relámpago Champions oficial de eFootball reservado para ocho jugadores.</x:v>
      </x:c>
      <x:c r="AB39" s="68" t="str">
        <x:v>SI</x:v>
      </x:c>
      <x:c r="AC39" s="68" t="str">
        <x:v>SI</x:v>
      </x:c>
      <x:c r="AD39" s="68" t="str"/>
      <x:c r="AE39" s="68" t="str"/>
      <x:c r="AF39" s="68" t="str"/>
      <x:c r="AG39" s="68" t="str"/>
      <x:c r="AH39" s="68" t="str"/>
    </x:row>
    <x:row r="40">
      <x:c r="A40" s="68" t="str">
        <x:v>ef-relampago-impact-8</x:v>
      </x:c>
      <x:c r="B40" s="68" t="str">
        <x:v>ef-relampago-impact</x:v>
      </x:c>
      <x:c r="C40" s="68" t="str">
        <x:v>1</x:v>
      </x:c>
      <x:c r="D40" s="68" t="str">
        <x:v>efootball</x:v>
      </x:c>
      <x:c r="E40" s="68" t="str">
        <x:v>eFootball Impact Cup</x:v>
      </x:c>
      <x:c r="F40" s="68" t="str">
        <x:v>relampago</x:v>
      </x:c>
      <x:c r="G40" s="68" t="str">
        <x:v>8</x:v>
      </x:c>
      <x:c r="H40" s="68" t="str">
        <x:v>Por definir</x:v>
      </x:c>
      <x:c r="I40" s="68" t="str">
        <x:v>Por definir</x:v>
      </x:c>
      <x:c r="J40" s="68" t="str">
        <x:v>Cuartos → Semifinal → Final · partido único</x:v>
      </x:c>
      <x:c r="K40" s="68" t="str">
        <x:v>knockout</x:v>
      </x:c>
      <x:c r="L40" s="68" t="str"/>
      <x:c r="M40" s="68" t="str"/>
      <x:c r="N40" s="68" t="str">
        <x:v>1</x:v>
      </x:c>
      <x:c r="O40" s="68" t="str">
        <x:v>assets/cups/efootball/relampagos-oficiales/impact-cup.png</x:v>
      </x:c>
      <x:c r="P40" s="68" t="str">
        <x:v>assets/cups/efootball/relampagos-oficiales/impact-cup.png</x:v>
      </x:c>
      <x:c r="Q40" s="68" t="str">
        <x:v>Por anunciar</x:v>
      </x:c>
      <x:c r="R40" s="68" t="str">
        <x:v>Por anunciar</x:v>
      </x:c>
      <x:c r="S40" s="68" t="str">
        <x:v>Por anunciar</x:v>
      </x:c>
      <x:c r="T40" s="68" t="str">
        <x:v>PROXIMAMENTE</x:v>
      </x:c>
      <x:c r="U40" s="68" t="str">
        <x:v>CERRADAS</x:v>
      </x:c>
      <x:c r="V40" s="68" t="str"/>
      <x:c r="W40" s="68" t="str"/>
      <x:c r="X40" s="68" t="str"/>
      <x:c r="Y40" s="68" t="str"/>
      <x:c r="Z40" s="68" t="str"/>
      <x:c r="AA40" s="68" t="str">
        <x:v>Copa Impact oficial de eFootball para una llave rápida de ocho participantes.</x:v>
      </x:c>
      <x:c r="AB40" s="68" t="str">
        <x:v>NO</x:v>
      </x:c>
      <x:c r="AC40" s="68" t="str">
        <x:v>SI</x:v>
      </x:c>
      <x:c r="AD40" s="68" t="str"/>
      <x:c r="AE40" s="68" t="str"/>
      <x:c r="AF40" s="68" t="str"/>
      <x:c r="AG40" s="68" t="str"/>
      <x:c r="AH40" s="68" t="str"/>
    </x:row>
    <x:row r="41">
      <x:c r="A41" s="68" t="str">
        <x:v>ef-relampago-bruno-fernandes-8</x:v>
      </x:c>
      <x:c r="B41" s="68" t="str">
        <x:v>ef-relampago-bruno-fernandes</x:v>
      </x:c>
      <x:c r="C41" s="68" t="str">
        <x:v>1</x:v>
      </x:c>
      <x:c r="D41" s="68" t="str">
        <x:v>efootball</x:v>
      </x:c>
      <x:c r="E41" s="68" t="str">
        <x:v>Cup Bruno Fernandes</x:v>
      </x:c>
      <x:c r="F41" s="68" t="str">
        <x:v>relampago</x:v>
      </x:c>
      <x:c r="G41" s="68" t="str">
        <x:v>8</x:v>
      </x:c>
      <x:c r="H41" s="68" t="str">
        <x:v>Por definir</x:v>
      </x:c>
      <x:c r="I41" s="68" t="str">
        <x:v>Por definir</x:v>
      </x:c>
      <x:c r="J41" s="68" t="str">
        <x:v>Cuartos → Semifinal → Final · partido único</x:v>
      </x:c>
      <x:c r="K41" s="68" t="str">
        <x:v>knockout</x:v>
      </x:c>
      <x:c r="L41" s="68" t="str"/>
      <x:c r="M41" s="68" t="str"/>
      <x:c r="N41" s="68" t="str">
        <x:v>1</x:v>
      </x:c>
      <x:c r="O41" s="68" t="str">
        <x:v>assets/cups/efootball/relampagos-oficiales/cup-bruno-fernandes.png</x:v>
      </x:c>
      <x:c r="P41" s="68" t="str">
        <x:v>assets/cups/efootball/relampagos-oficiales/cup-bruno-fernandes.png</x:v>
      </x:c>
      <x:c r="Q41" s="68" t="str">
        <x:v>Por anunciar</x:v>
      </x:c>
      <x:c r="R41" s="68" t="str">
        <x:v>Por anunciar</x:v>
      </x:c>
      <x:c r="S41" s="68" t="str">
        <x:v>Por anunciar</x:v>
      </x:c>
      <x:c r="T41" s="68" t="str">
        <x:v>PROXIMAMENTE</x:v>
      </x:c>
      <x:c r="U41" s="68" t="str">
        <x:v>CERRADAS</x:v>
      </x:c>
      <x:c r="V41" s="68" t="str"/>
      <x:c r="W41" s="68" t="str"/>
      <x:c r="X41" s="68" t="str"/>
      <x:c r="Y41" s="68" t="str"/>
      <x:c r="Z41" s="68" t="str"/>
      <x:c r="AA41" s="68" t="str">
        <x:v>Relámpago oficial Cup Bruno Fernandes de eFootball para ocho participantes.</x:v>
      </x:c>
      <x:c r="AB41" s="68" t="str">
        <x:v>NO</x:v>
      </x:c>
      <x:c r="AC41" s="68" t="str">
        <x:v>SI</x:v>
      </x:c>
      <x:c r="AD41" s="68" t="str"/>
      <x:c r="AE41" s="68" t="str"/>
      <x:c r="AF41" s="68" t="str"/>
      <x:c r="AG41" s="68" t="str"/>
      <x:c r="AH41" s="68" t="str"/>
    </x:row>
    <x:row r="42">
      <x:c r="A42" s="68" t="str">
        <x:v>ef-copa-del-mundo</x:v>
      </x:c>
      <x:c r="B42" s="68" t="str">
        <x:v>ef-official-copa-del-mundo</x:v>
      </x:c>
      <x:c r="C42" s="68" t="str">
        <x:v>1</x:v>
      </x:c>
      <x:c r="D42" s="68" t="str">
        <x:v>efootball</x:v>
      </x:c>
      <x:c r="E42" s="68" t="str">
        <x:v>Copa del Mundo · eFootball</x:v>
      </x:c>
      <x:c r="F42" s="68" t="str">
        <x:v>oficial</x:v>
      </x:c>
      <x:c r="G42" s="68" t="str">
        <x:v>48</x:v>
      </x:c>
      <x:c r="H42" s="68" t="str">
        <x:v>Por definir</x:v>
      </x:c>
      <x:c r="I42" s="68" t="str">
        <x:v>Por definir</x:v>
      </x:c>
      <x:c r="J42" s="68" t="str">
        <x:v>12 grupos de 4 → 2 primeros + 8 mejores terceros → Ronda de 32 → Final</x:v>
      </x:c>
      <x:c r="K42" s="68" t="str">
        <x:v>groups</x:v>
      </x:c>
      <x:c r="L42" s="68" t="str">
        <x:v>4</x:v>
      </x:c>
      <x:c r="M42" s="68" t="str">
        <x:v>2</x:v>
      </x:c>
      <x:c r="N42" s="68" t="str">
        <x:v>1</x:v>
      </x:c>
      <x:c r="O42" s="68" t="str">
        <x:v>assets/cups/official/copa-del-mundo.png</x:v>
      </x:c>
      <x:c r="P42" s="68" t="str">
        <x:v>assets/cups/official/copa-del-mundo.png</x:v>
      </x:c>
      <x:c r="Q42" s="68" t="str">
        <x:v>Por anunciar</x:v>
      </x:c>
      <x:c r="R42" s="68" t="str">
        <x:v>Por anunciar</x:v>
      </x:c>
      <x:c r="S42" s="68" t="str">
        <x:v>Por anunciar</x:v>
      </x:c>
      <x:c r="T42" s="68" t="str">
        <x:v>PROXIMAMENTE</x:v>
      </x:c>
      <x:c r="U42" s="68" t="str">
        <x:v>CERRADAS</x:v>
      </x:c>
      <x:c r="V42" s="68" t="str"/>
      <x:c r="W42" s="68" t="str"/>
      <x:c r="X42" s="68" t="str"/>
      <x:c r="Y42" s="68" t="str"/>
      <x:c r="Z42" s="68" t="str"/>
      <x:c r="AA42" s="68" t="str">
        <x:v>Formato mundial de 48 participantes: doce grupos de cuatro, avanzan los dos primeros de cada grupo y los ocho mejores terceros; desde la Ronda de 32 se juega eliminación directa.</x:v>
      </x:c>
      <x:c r="AB42" s="68" t="str">
        <x:v>NO</x:v>
      </x:c>
      <x:c r="AC42" s="68" t="str">
        <x:v>SI</x:v>
      </x:c>
      <x:c r="AD42" s="68" t="str"/>
      <x:c r="AE42" s="68" t="str"/>
      <x:c r="AF42" s="68" t="str"/>
      <x:c r="AG42" s="68" t="str"/>
      <x:c r="AH42" s="68" t="str"/>
    </x:row>
    <x:row r="43">
      <x:c r="A43" s="68" t="str">
        <x:v>ef-uefa-champions-league</x:v>
      </x:c>
      <x:c r="B43" s="68" t="str">
        <x:v>ef-official-uefa-champions-league</x:v>
      </x:c>
      <x:c r="C43" s="68" t="str">
        <x:v>1</x:v>
      </x:c>
      <x:c r="D43" s="68" t="str">
        <x:v>efootball</x:v>
      </x:c>
      <x:c r="E43" s="68" t="str">
        <x:v>UEFA Champions League · eFootball</x:v>
      </x:c>
      <x:c r="F43" s="68" t="str">
        <x:v>oficial</x:v>
      </x:c>
      <x:c r="G43" s="68" t="str">
        <x:v>36</x:v>
      </x:c>
      <x:c r="H43" s="68" t="str">
        <x:v>Por definir</x:v>
      </x:c>
      <x:c r="I43" s="68" t="str">
        <x:v>Por definir</x:v>
      </x:c>
      <x:c r="J43" s="68" t="str">
        <x:v>Fase liga de 36 · 8 partidos c/u → Top 8 a octavos · 9.º–24.º play-off → Final</x:v>
      </x:c>
      <x:c r="K43" s="68" t="str">
        <x:v>league_phase</x:v>
      </x:c>
      <x:c r="L43" s="68" t="str">
        <x:v>4</x:v>
      </x:c>
      <x:c r="M43" s="68" t="str">
        <x:v>2</x:v>
      </x:c>
      <x:c r="N43" s="68" t="str">
        <x:v>1</x:v>
      </x:c>
      <x:c r="O43" s="68" t="str">
        <x:v>assets/cups/official/uefa-champions-league.png</x:v>
      </x:c>
      <x:c r="P43" s="68" t="str">
        <x:v>assets/cups/official/uefa-champions-league.png</x:v>
      </x:c>
      <x:c r="Q43" s="68" t="str">
        <x:v>Por anunciar</x:v>
      </x:c>
      <x:c r="R43" s="68" t="str">
        <x:v>Por anunciar</x:v>
      </x:c>
      <x:c r="S43" s="68" t="str">
        <x:v>Por anunciar</x:v>
      </x:c>
      <x:c r="T43" s="68" t="str">
        <x:v>PROXIMAMENTE</x:v>
      </x:c>
      <x:c r="U43" s="68" t="str">
        <x:v>CERRADAS</x:v>
      </x:c>
      <x:c r="V43" s="68" t="str"/>
      <x:c r="W43" s="68" t="str"/>
      <x:c r="X43" s="68" t="str"/>
      <x:c r="Y43" s="68" t="str"/>
      <x:c r="Z43" s="68" t="str"/>
      <x:c r="AA43" s="68" t="str">
        <x:v>Formato de fase liga: 36 participantes disputan ocho partidos ante rivales distintos; los ocho primeros avanzan a octavos y del 9.º al 24.º juegan un play-off previo.</x:v>
      </x:c>
      <x:c r="AB43" s="68" t="str">
        <x:v>NO</x:v>
      </x:c>
      <x:c r="AC43" s="68" t="str">
        <x:v>SI</x:v>
      </x:c>
      <x:c r="AD43" s="68" t="str"/>
      <x:c r="AE43" s="68" t="str"/>
      <x:c r="AF43" s="68" t="str"/>
      <x:c r="AG43" s="68" t="str"/>
      <x:c r="AH43" s="68" t="str"/>
    </x:row>
    <x:row r="44">
      <x:c r="A44" s="68" t="str">
        <x:v>ef-copa-libertadores</x:v>
      </x:c>
      <x:c r="B44" s="68" t="str">
        <x:v>ef-official-copa-libertadores</x:v>
      </x:c>
      <x:c r="C44" s="68" t="str">
        <x:v>1</x:v>
      </x:c>
      <x:c r="D44" s="68" t="str">
        <x:v>efootball</x:v>
      </x:c>
      <x:c r="E44" s="68" t="str">
        <x:v>Copa Libertadores · eFootball</x:v>
      </x:c>
      <x:c r="F44" s="68" t="str">
        <x:v>oficial</x:v>
      </x:c>
      <x:c r="G44" s="68" t="str">
        <x:v>32</x:v>
      </x:c>
      <x:c r="H44" s="68" t="str">
        <x:v>Por definir</x:v>
      </x:c>
      <x:c r="I44" s="68" t="str">
        <x:v>Por definir</x:v>
      </x:c>
      <x:c r="J44" s="68" t="str">
        <x:v>8 grupos de 4 · solo ida → Octavos → Final</x:v>
      </x:c>
      <x:c r="K44" s="68" t="str">
        <x:v>groups</x:v>
      </x:c>
      <x:c r="L44" s="68" t="str">
        <x:v>4</x:v>
      </x:c>
      <x:c r="M44" s="68" t="str">
        <x:v>2</x:v>
      </x:c>
      <x:c r="N44" s="68" t="str">
        <x:v>1</x:v>
      </x:c>
      <x:c r="O44" s="68" t="str">
        <x:v>assets/cups/official/copa-libertadores.png</x:v>
      </x:c>
      <x:c r="P44" s="68" t="str">
        <x:v>assets/cups/official/copa-libertadores.png</x:v>
      </x:c>
      <x:c r="Q44" s="68" t="str">
        <x:v>Por anunciar</x:v>
      </x:c>
      <x:c r="R44" s="68" t="str">
        <x:v>Por anunciar</x:v>
      </x:c>
      <x:c r="S44" s="68" t="str">
        <x:v>Por anunciar</x:v>
      </x:c>
      <x:c r="T44" s="68" t="str">
        <x:v>PROXIMAMENTE</x:v>
      </x:c>
      <x:c r="U44" s="68" t="str">
        <x:v>CERRADAS</x:v>
      </x:c>
      <x:c r="V44" s="68" t="str"/>
      <x:c r="W44" s="68" t="str"/>
      <x:c r="X44" s="68" t="str"/>
      <x:c r="Y44" s="68" t="str"/>
      <x:c r="Z44" s="68" t="str"/>
      <x:c r="AA44" s="68" t="str">
        <x:v>Treinta y dos participantes en ocho grupos de cuatro, con un solo partido contra cada rival del grupo. Los dos primeros avanzan a octavos y continúan por eliminatorias a partido único.</x:v>
      </x:c>
      <x:c r="AB44" s="68" t="str">
        <x:v>NO</x:v>
      </x:c>
      <x:c r="AC44" s="68" t="str">
        <x:v>SI</x:v>
      </x:c>
      <x:c r="AD44" s="68" t="str"/>
      <x:c r="AE44" s="68" t="str"/>
      <x:c r="AF44" s="68" t="str"/>
      <x:c r="AG44" s="68" t="str"/>
      <x:c r="AH44" s="68" t="str"/>
    </x:row>
    <x:row r="45">
      <x:c r="A45" s="68" t="str">
        <x:v>ef-eurocopa</x:v>
      </x:c>
      <x:c r="B45" s="68" t="str">
        <x:v>ef-official-eurocopa</x:v>
      </x:c>
      <x:c r="C45" s="68" t="str">
        <x:v>1</x:v>
      </x:c>
      <x:c r="D45" s="68" t="str">
        <x:v>efootball</x:v>
      </x:c>
      <x:c r="E45" s="68" t="str">
        <x:v>Eurocopa · eFootball</x:v>
      </x:c>
      <x:c r="F45" s="68" t="str">
        <x:v>oficial</x:v>
      </x:c>
      <x:c r="G45" s="68" t="str">
        <x:v>24</x:v>
      </x:c>
      <x:c r="H45" s="68" t="str">
        <x:v>Por definir</x:v>
      </x:c>
      <x:c r="I45" s="68" t="str">
        <x:v>Por definir</x:v>
      </x:c>
      <x:c r="J45" s="68" t="str">
        <x:v>6 grupos de 4 → 2 primeros + 4 mejores terceros → Octavos → Final</x:v>
      </x:c>
      <x:c r="K45" s="68" t="str">
        <x:v>groups</x:v>
      </x:c>
      <x:c r="L45" s="68" t="str">
        <x:v>4</x:v>
      </x:c>
      <x:c r="M45" s="68" t="str">
        <x:v>2</x:v>
      </x:c>
      <x:c r="N45" s="68" t="str">
        <x:v>1</x:v>
      </x:c>
      <x:c r="O45" s="68" t="str">
        <x:v>assets/cups/official/eurocopa.png</x:v>
      </x:c>
      <x:c r="P45" s="68" t="str">
        <x:v>assets/cups/official/eurocopa.png</x:v>
      </x:c>
      <x:c r="Q45" s="68" t="str">
        <x:v>Por anunciar</x:v>
      </x:c>
      <x:c r="R45" s="68" t="str">
        <x:v>Por anunciar</x:v>
      </x:c>
      <x:c r="S45" s="68" t="str">
        <x:v>Por anunciar</x:v>
      </x:c>
      <x:c r="T45" s="68" t="str">
        <x:v>PROXIMAMENTE</x:v>
      </x:c>
      <x:c r="U45" s="68" t="str">
        <x:v>CERRADAS</x:v>
      </x:c>
      <x:c r="V45" s="68" t="str"/>
      <x:c r="W45" s="68" t="str"/>
      <x:c r="X45" s="68" t="str"/>
      <x:c r="Y45" s="68" t="str"/>
      <x:c r="Z45" s="68" t="str"/>
      <x:c r="AA45" s="68" t="str">
        <x:v>Veinticuatro participantes en seis grupos de cuatro; avanzan los dos primeros de cada grupo y los cuatro mejores terceros a octavos de final.</x:v>
      </x:c>
      <x:c r="AB45" s="68" t="str">
        <x:v>NO</x:v>
      </x:c>
      <x:c r="AC45" s="68" t="str">
        <x:v>SI</x:v>
      </x:c>
      <x:c r="AD45" s="68" t="str"/>
      <x:c r="AE45" s="68" t="str"/>
      <x:c r="AF45" s="68" t="str"/>
      <x:c r="AG45" s="68" t="str"/>
      <x:c r="AH45" s="68" t="str"/>
    </x:row>
    <x:row r="46">
      <x:c r="A46" s="68" t="str">
        <x:v>ef-copa-america</x:v>
      </x:c>
      <x:c r="B46" s="68" t="str">
        <x:v>ef-official-copa-america</x:v>
      </x:c>
      <x:c r="C46" s="68" t="str">
        <x:v>1</x:v>
      </x:c>
      <x:c r="D46" s="68" t="str">
        <x:v>efootball</x:v>
      </x:c>
      <x:c r="E46" s="68" t="str">
        <x:v>Copa América · eFootball</x:v>
      </x:c>
      <x:c r="F46" s="68" t="str">
        <x:v>oficial</x:v>
      </x:c>
      <x:c r="G46" s="68" t="str">
        <x:v>16</x:v>
      </x:c>
      <x:c r="H46" s="68" t="str">
        <x:v>Por definir</x:v>
      </x:c>
      <x:c r="I46" s="68" t="str">
        <x:v>Por definir</x:v>
      </x:c>
      <x:c r="J46" s="68" t="str">
        <x:v>4 grupos de 4 → Cuartos → Semifinal → Final</x:v>
      </x:c>
      <x:c r="K46" s="68" t="str">
        <x:v>groups</x:v>
      </x:c>
      <x:c r="L46" s="68" t="str">
        <x:v>4</x:v>
      </x:c>
      <x:c r="M46" s="68" t="str">
        <x:v>2</x:v>
      </x:c>
      <x:c r="N46" s="68" t="str">
        <x:v>1</x:v>
      </x:c>
      <x:c r="O46" s="68" t="str">
        <x:v>assets/cups/official/copa-america.png</x:v>
      </x:c>
      <x:c r="P46" s="68" t="str">
        <x:v>assets/cups/official/copa-america.png</x:v>
      </x:c>
      <x:c r="Q46" s="68" t="str">
        <x:v>Por anunciar</x:v>
      </x:c>
      <x:c r="R46" s="68" t="str">
        <x:v>Por anunciar</x:v>
      </x:c>
      <x:c r="S46" s="68" t="str">
        <x:v>Por anunciar</x:v>
      </x:c>
      <x:c r="T46" s="68" t="str">
        <x:v>PROXIMAMENTE</x:v>
      </x:c>
      <x:c r="U46" s="68" t="str">
        <x:v>CERRADAS</x:v>
      </x:c>
      <x:c r="V46" s="68" t="str"/>
      <x:c r="W46" s="68" t="str"/>
      <x:c r="X46" s="68" t="str"/>
      <x:c r="Y46" s="68" t="str"/>
      <x:c r="Z46" s="68" t="str"/>
      <x:c r="AA46" s="68" t="str">
        <x:v>Dieciséis participantes repartidos en cuatro grupos de cuatro. Los dos primeros de cada grupo avanzan a cuartos de final.</x:v>
      </x:c>
      <x:c r="AB46" s="68" t="str">
        <x:v>NO</x:v>
      </x:c>
      <x:c r="AC46" s="68" t="str">
        <x:v>SI</x:v>
      </x:c>
      <x:c r="AD46" s="68" t="str"/>
      <x:c r="AE46" s="68" t="str"/>
      <x:c r="AF46" s="68" t="str"/>
      <x:c r="AG46" s="68" t="str"/>
      <x:c r="AH46" s="68" t="str"/>
    </x:row>
    <x:row r="47">
      <x:c r="A47" s="68" t="str">
        <x:v>ef-mundial-de-clubes</x:v>
      </x:c>
      <x:c r="B47" s="68" t="str">
        <x:v>ef-official-mundial-de-clubes</x:v>
      </x:c>
      <x:c r="C47" s="68" t="str">
        <x:v>1</x:v>
      </x:c>
      <x:c r="D47" s="68" t="str">
        <x:v>efootball</x:v>
      </x:c>
      <x:c r="E47" s="68" t="str">
        <x:v>Mundial de Clubes de la FIFA · eFootball</x:v>
      </x:c>
      <x:c r="F47" s="68" t="str">
        <x:v>oficial</x:v>
      </x:c>
      <x:c r="G47" s="68" t="str">
        <x:v>32</x:v>
      </x:c>
      <x:c r="H47" s="68" t="str">
        <x:v>Por definir</x:v>
      </x:c>
      <x:c r="I47" s="68" t="str">
        <x:v>Por definir</x:v>
      </x:c>
      <x:c r="J47" s="68" t="str">
        <x:v>8 grupos de 4 → Octavos → Cuartos → Semifinal → Final</x:v>
      </x:c>
      <x:c r="K47" s="68" t="str">
        <x:v>groups</x:v>
      </x:c>
      <x:c r="L47" s="68" t="str">
        <x:v>4</x:v>
      </x:c>
      <x:c r="M47" s="68" t="str">
        <x:v>2</x:v>
      </x:c>
      <x:c r="N47" s="68" t="str">
        <x:v>1</x:v>
      </x:c>
      <x:c r="O47" s="68" t="str">
        <x:v>assets/cups/official/mundial-de-clubes.png</x:v>
      </x:c>
      <x:c r="P47" s="68" t="str">
        <x:v>assets/cups/official/mundial-de-clubes.png</x:v>
      </x:c>
      <x:c r="Q47" s="68" t="str">
        <x:v>Por anunciar</x:v>
      </x:c>
      <x:c r="R47" s="68" t="str">
        <x:v>Por anunciar</x:v>
      </x:c>
      <x:c r="S47" s="68" t="str">
        <x:v>Por anunciar</x:v>
      </x:c>
      <x:c r="T47" s="68" t="str">
        <x:v>PROXIMAMENTE</x:v>
      </x:c>
      <x:c r="U47" s="68" t="str">
        <x:v>CERRADAS</x:v>
      </x:c>
      <x:c r="V47" s="68" t="str"/>
      <x:c r="W47" s="68" t="str"/>
      <x:c r="X47" s="68" t="str"/>
      <x:c r="Y47" s="68" t="str"/>
      <x:c r="Z47" s="68" t="str"/>
      <x:c r="AA47" s="68" t="str">
        <x:v>Treinta y dos clubes en ocho grupos de cuatro a una sola vuelta. Los dos mejores de cada grupo avanzan a octavos y desde allí se juega a eliminación directa.</x:v>
      </x:c>
      <x:c r="AB47" s="68" t="str">
        <x:v>NO</x:v>
      </x:c>
      <x:c r="AC47" s="68" t="str">
        <x:v>SI</x:v>
      </x:c>
      <x:c r="AD47" s="68" t="str"/>
      <x:c r="AE47" s="68" t="str"/>
      <x:c r="AF47" s="68" t="str"/>
      <x:c r="AG47" s="68" t="str"/>
      <x:c r="AH47" s="68" t="str"/>
    </x:row>
    <x:row r="48">
      <x:c r="A48" s="68" t="str">
        <x:v>ef-premier-league</x:v>
      </x:c>
      <x:c r="B48" s="68" t="str">
        <x:v>ef-official-premier-league</x:v>
      </x:c>
      <x:c r="C48" s="68" t="str">
        <x:v>1</x:v>
      </x:c>
      <x:c r="D48" s="68" t="str">
        <x:v>efootball</x:v>
      </x:c>
      <x:c r="E48" s="68" t="str">
        <x:v>Premier League · eFootball</x:v>
      </x:c>
      <x:c r="F48" s="68" t="str">
        <x:v>oficial</x:v>
      </x:c>
      <x:c r="G48" s="68" t="str">
        <x:v>20</x:v>
      </x:c>
      <x:c r="H48" s="68" t="str">
        <x:v>Por definir</x:v>
      </x:c>
      <x:c r="I48" s="68" t="str">
        <x:v>Por definir</x:v>
      </x:c>
      <x:c r="J48" s="68" t="str">
        <x:v>Liga · 20 participantes · 19 jornadas · solo ida</x:v>
      </x:c>
      <x:c r="K48" s="68" t="str">
        <x:v>league</x:v>
      </x:c>
      <x:c r="L48" s="68" t="str">
        <x:v>4</x:v>
      </x:c>
      <x:c r="M48" s="68" t="str">
        <x:v>2</x:v>
      </x:c>
      <x:c r="N48" s="68" t="str">
        <x:v>1</x:v>
      </x:c>
      <x:c r="O48" s="68" t="str">
        <x:v>assets/cups/official/premier-league.png</x:v>
      </x:c>
      <x:c r="P48" s="68" t="str">
        <x:v>assets/cups/official/premier-league.png</x:v>
      </x:c>
      <x:c r="Q48" s="68" t="str">
        <x:v>Por anunciar</x:v>
      </x:c>
      <x:c r="R48" s="68" t="str">
        <x:v>Por anunciar</x:v>
      </x:c>
      <x:c r="S48" s="68" t="str">
        <x:v>Por anunciar</x:v>
      </x:c>
      <x:c r="T48" s="68" t="str">
        <x:v>PROXIMAMENTE</x:v>
      </x:c>
      <x:c r="U48" s="68" t="str">
        <x:v>CERRADAS</x:v>
      </x:c>
      <x:c r="V48" s="68" t="str"/>
      <x:c r="W48" s="68" t="str"/>
      <x:c r="X48" s="68" t="str"/>
      <x:c r="Y48" s="68" t="str"/>
      <x:c r="Z48" s="68" t="str"/>
      <x:c r="AA48" s="68" t="str">
        <x:v>Liga de veinte participantes a una sola vuelta. Cada participante disputa 19 partidos y el campeón se define por la tabla de puntos.</x:v>
      </x:c>
      <x:c r="AB48" s="68" t="str">
        <x:v>NO</x:v>
      </x:c>
      <x:c r="AC48" s="68" t="str">
        <x:v>SI</x:v>
      </x:c>
      <x:c r="AD48" s="68" t="str"/>
      <x:c r="AE48" s="68" t="str"/>
      <x:c r="AF48" s="68" t="str"/>
      <x:c r="AG48" s="68" t="str"/>
      <x:c r="AH48" s="68" t="str"/>
    </x:row>
    <x:row r="49">
      <x:c r="A49" s="68" t="str">
        <x:v>ef-laliga</x:v>
      </x:c>
      <x:c r="B49" s="68" t="str">
        <x:v>ef-official-laliga</x:v>
      </x:c>
      <x:c r="C49" s="68" t="str">
        <x:v>1</x:v>
      </x:c>
      <x:c r="D49" s="68" t="str">
        <x:v>efootball</x:v>
      </x:c>
      <x:c r="E49" s="68" t="str">
        <x:v>LaLiga · eFootball</x:v>
      </x:c>
      <x:c r="F49" s="68" t="str">
        <x:v>oficial</x:v>
      </x:c>
      <x:c r="G49" s="68" t="str">
        <x:v>20</x:v>
      </x:c>
      <x:c r="H49" s="68" t="str">
        <x:v>Por definir</x:v>
      </x:c>
      <x:c r="I49" s="68" t="str">
        <x:v>Por definir</x:v>
      </x:c>
      <x:c r="J49" s="68" t="str">
        <x:v>Liga · 20 participantes · 19 jornadas · solo ida</x:v>
      </x:c>
      <x:c r="K49" s="68" t="str">
        <x:v>league</x:v>
      </x:c>
      <x:c r="L49" s="68" t="str">
        <x:v>4</x:v>
      </x:c>
      <x:c r="M49" s="68" t="str">
        <x:v>2</x:v>
      </x:c>
      <x:c r="N49" s="68" t="str">
        <x:v>1</x:v>
      </x:c>
      <x:c r="O49" s="68" t="str">
        <x:v>assets/cups/official/laliga.png</x:v>
      </x:c>
      <x:c r="P49" s="68" t="str">
        <x:v>assets/cups/official/laliga.png</x:v>
      </x:c>
      <x:c r="Q49" s="68" t="str">
        <x:v>Por anunciar</x:v>
      </x:c>
      <x:c r="R49" s="68" t="str">
        <x:v>Por anunciar</x:v>
      </x:c>
      <x:c r="S49" s="68" t="str">
        <x:v>Por anunciar</x:v>
      </x:c>
      <x:c r="T49" s="68" t="str">
        <x:v>PROXIMAMENTE</x:v>
      </x:c>
      <x:c r="U49" s="68" t="str">
        <x:v>CERRADAS</x:v>
      </x:c>
      <x:c r="V49" s="68" t="str"/>
      <x:c r="W49" s="68" t="str"/>
      <x:c r="X49" s="68" t="str"/>
      <x:c r="Y49" s="68" t="str"/>
      <x:c r="Z49" s="68" t="str"/>
      <x:c r="AA49" s="68" t="str">
        <x:v>Veinte participantes compiten en una sola vuelta durante 19 jornadas. Cada rival se enfrenta una sola vez y el primer lugar se corona campeón.</x:v>
      </x:c>
      <x:c r="AB49" s="68" t="str">
        <x:v>NO</x:v>
      </x:c>
      <x:c r="AC49" s="68" t="str">
        <x:v>SI</x:v>
      </x:c>
      <x:c r="AD49" s="68" t="str"/>
      <x:c r="AE49" s="68" t="str"/>
      <x:c r="AF49" s="68" t="str"/>
      <x:c r="AG49" s="68" t="str"/>
      <x:c r="AH49" s="68" t="str"/>
    </x:row>
    <x:row r="50">
      <x:c r="A50" s="68" t="str">
        <x:v>ef-bundesliga</x:v>
      </x:c>
      <x:c r="B50" s="68" t="str">
        <x:v>ef-official-bundesliga</x:v>
      </x:c>
      <x:c r="C50" s="68" t="str">
        <x:v>1</x:v>
      </x:c>
      <x:c r="D50" s="68" t="str">
        <x:v>efootball</x:v>
      </x:c>
      <x:c r="E50" s="68" t="str">
        <x:v>Bundesliga · eFootball</x:v>
      </x:c>
      <x:c r="F50" s="68" t="str">
        <x:v>oficial</x:v>
      </x:c>
      <x:c r="G50" s="68" t="str">
        <x:v>18</x:v>
      </x:c>
      <x:c r="H50" s="68" t="str">
        <x:v>Por definir</x:v>
      </x:c>
      <x:c r="I50" s="68" t="str">
        <x:v>Por definir</x:v>
      </x:c>
      <x:c r="J50" s="68" t="str">
        <x:v>Liga · 18 participantes · 17 jornadas · solo ida</x:v>
      </x:c>
      <x:c r="K50" s="68" t="str">
        <x:v>league</x:v>
      </x:c>
      <x:c r="L50" s="68" t="str">
        <x:v>4</x:v>
      </x:c>
      <x:c r="M50" s="68" t="str">
        <x:v>2</x:v>
      </x:c>
      <x:c r="N50" s="68" t="str">
        <x:v>1</x:v>
      </x:c>
      <x:c r="O50" s="68" t="str">
        <x:v>assets/cups/official/bundesliga.png</x:v>
      </x:c>
      <x:c r="P50" s="68" t="str">
        <x:v>assets/cups/official/bundesliga.png</x:v>
      </x:c>
      <x:c r="Q50" s="68" t="str">
        <x:v>Por anunciar</x:v>
      </x:c>
      <x:c r="R50" s="68" t="str">
        <x:v>Por anunciar</x:v>
      </x:c>
      <x:c r="S50" s="68" t="str">
        <x:v>Por anunciar</x:v>
      </x:c>
      <x:c r="T50" s="68" t="str">
        <x:v>PROXIMAMENTE</x:v>
      </x:c>
      <x:c r="U50" s="68" t="str">
        <x:v>CERRADAS</x:v>
      </x:c>
      <x:c r="V50" s="68" t="str"/>
      <x:c r="W50" s="68" t="str"/>
      <x:c r="X50" s="68" t="str"/>
      <x:c r="Y50" s="68" t="str"/>
      <x:c r="Z50" s="68" t="str"/>
      <x:c r="AA50" s="68" t="str">
        <x:v>Dieciocho participantes a una sola vuelta, con 17 jornadas y clasificación por puntos. Cada rival se enfrenta una sola vez.</x:v>
      </x:c>
      <x:c r="AB50" s="68" t="str">
        <x:v>NO</x:v>
      </x:c>
      <x:c r="AC50" s="68" t="str">
        <x:v>SI</x:v>
      </x:c>
      <x:c r="AD50" s="68" t="str"/>
      <x:c r="AE50" s="68" t="str"/>
      <x:c r="AF50" s="68" t="str"/>
      <x:c r="AG50" s="68" t="str"/>
      <x:c r="AH50" s="68" t="str"/>
    </x:row>
    <x:row r="51">
      <x:c r="A51" s="68" t="str">
        <x:v>ef-serie-a</x:v>
      </x:c>
      <x:c r="B51" s="68" t="str">
        <x:v>ef-official-serie-a</x:v>
      </x:c>
      <x:c r="C51" s="68" t="str">
        <x:v>1</x:v>
      </x:c>
      <x:c r="D51" s="68" t="str">
        <x:v>efootball</x:v>
      </x:c>
      <x:c r="E51" s="68" t="str">
        <x:v>Serie A · eFootball</x:v>
      </x:c>
      <x:c r="F51" s="68" t="str">
        <x:v>oficial</x:v>
      </x:c>
      <x:c r="G51" s="68" t="str">
        <x:v>20</x:v>
      </x:c>
      <x:c r="H51" s="68" t="str">
        <x:v>Por definir</x:v>
      </x:c>
      <x:c r="I51" s="68" t="str">
        <x:v>Por definir</x:v>
      </x:c>
      <x:c r="J51" s="68" t="str">
        <x:v>Liga · 20 participantes · 19 jornadas · solo ida</x:v>
      </x:c>
      <x:c r="K51" s="68" t="str">
        <x:v>league</x:v>
      </x:c>
      <x:c r="L51" s="68" t="str">
        <x:v>4</x:v>
      </x:c>
      <x:c r="M51" s="68" t="str">
        <x:v>2</x:v>
      </x:c>
      <x:c r="N51" s="68" t="str">
        <x:v>1</x:v>
      </x:c>
      <x:c r="O51" s="68" t="str">
        <x:v>assets/cups/official/serie-a.png</x:v>
      </x:c>
      <x:c r="P51" s="68" t="str">
        <x:v>assets/cups/official/serie-a.png</x:v>
      </x:c>
      <x:c r="Q51" s="68" t="str">
        <x:v>Por anunciar</x:v>
      </x:c>
      <x:c r="R51" s="68" t="str">
        <x:v>Por anunciar</x:v>
      </x:c>
      <x:c r="S51" s="68" t="str">
        <x:v>Por anunciar</x:v>
      </x:c>
      <x:c r="T51" s="68" t="str">
        <x:v>PROXIMAMENTE</x:v>
      </x:c>
      <x:c r="U51" s="68" t="str">
        <x:v>CERRADAS</x:v>
      </x:c>
      <x:c r="V51" s="68" t="str"/>
      <x:c r="W51" s="68" t="str"/>
      <x:c r="X51" s="68" t="str"/>
      <x:c r="Y51" s="68" t="str"/>
      <x:c r="Z51" s="68" t="str"/>
      <x:c r="AA51" s="68" t="str">
        <x:v>Veinte participantes disputan 19 jornadas a una sola vuelta; cada rival se enfrenta una sola vez y la clasificación final se determina por puntos.</x:v>
      </x:c>
      <x:c r="AB51" s="68" t="str">
        <x:v>NO</x:v>
      </x:c>
      <x:c r="AC51" s="68" t="str">
        <x:v>SI</x:v>
      </x:c>
      <x:c r="AD51" s="68" t="str"/>
      <x:c r="AE51" s="68" t="str"/>
      <x:c r="AF51" s="68" t="str"/>
      <x:c r="AG51" s="68" t="str"/>
      <x:c r="AH51" s="68" t="str"/>
    </x:row>
    <x:row r="52">
      <x:c r="A52" s="68" t="str">
        <x:v>ef-liga-1-peru</x:v>
      </x:c>
      <x:c r="B52" s="68" t="str">
        <x:v>ef-official-liga-1-peru</x:v>
      </x:c>
      <x:c r="C52" s="68" t="str">
        <x:v>1</x:v>
      </x:c>
      <x:c r="D52" s="68" t="str">
        <x:v>efootball</x:v>
      </x:c>
      <x:c r="E52" s="68" t="str">
        <x:v>Liga 1 Perú · eFootball</x:v>
      </x:c>
      <x:c r="F52" s="68" t="str">
        <x:v>oficial</x:v>
      </x:c>
      <x:c r="G52" s="68" t="str">
        <x:v>18</x:v>
      </x:c>
      <x:c r="H52" s="68" t="str">
        <x:v>Por definir</x:v>
      </x:c>
      <x:c r="I52" s="68" t="str">
        <x:v>Por definir</x:v>
      </x:c>
      <x:c r="J52" s="68" t="str">
        <x:v>Liga · 18 participantes · 17 jornadas → Top 4 → Play-offs</x:v>
      </x:c>
      <x:c r="K52" s="68" t="str">
        <x:v>league_playoffs</x:v>
      </x:c>
      <x:c r="L52" s="68" t="str">
        <x:v>4</x:v>
      </x:c>
      <x:c r="M52" s="68" t="str">
        <x:v>2</x:v>
      </x:c>
      <x:c r="N52" s="68" t="str">
        <x:v>1</x:v>
      </x:c>
      <x:c r="O52" s="68" t="str">
        <x:v>assets/cups/official/liga-1-peru.png</x:v>
      </x:c>
      <x:c r="P52" s="68" t="str">
        <x:v>assets/cups/official/liga-1-peru.png</x:v>
      </x:c>
      <x:c r="Q52" s="68" t="str">
        <x:v>Por anunciar</x:v>
      </x:c>
      <x:c r="R52" s="68" t="str">
        <x:v>Por anunciar</x:v>
      </x:c>
      <x:c r="S52" s="68" t="str">
        <x:v>Por anunciar</x:v>
      </x:c>
      <x:c r="T52" s="68" t="str">
        <x:v>PROXIMAMENTE</x:v>
      </x:c>
      <x:c r="U52" s="68" t="str">
        <x:v>CERRADAS</x:v>
      </x:c>
      <x:c r="V52" s="68" t="str"/>
      <x:c r="W52" s="68" t="str"/>
      <x:c r="X52" s="68" t="str"/>
      <x:c r="Y52" s="68" t="str"/>
      <x:c r="Z52" s="68" t="str"/>
      <x:c r="AA52" s="68" t="str">
        <x:v>Liga de 18 participantes a una sola vuelta: 17 jornadas, cada rival se enfrenta una sola vez y los cuatro mejores avanzan a los play-offs por el título.</x:v>
      </x:c>
      <x:c r="AB52" s="68" t="str">
        <x:v>NO</x:v>
      </x:c>
      <x:c r="AC52" s="68" t="str">
        <x:v>SI</x:v>
      </x:c>
      <x:c r="AD52" s="68" t="str"/>
      <x:c r="AE52" s="68" t="str"/>
      <x:c r="AF52" s="68" t="str"/>
      <x:c r="AG52" s="68" t="str"/>
      <x:c r="AH52" s="68" t="str"/>
    </x:row>
    <x:row r="53">
      <x:c r="A53" s="68" t="str">
        <x:v>ef-copa-del-rey</x:v>
      </x:c>
      <x:c r="B53" s="68" t="str">
        <x:v>ef-official-copa-del-rey</x:v>
      </x:c>
      <x:c r="C53" s="68" t="str">
        <x:v>1</x:v>
      </x:c>
      <x:c r="D53" s="68" t="str">
        <x:v>efootball</x:v>
      </x:c>
      <x:c r="E53" s="68" t="str">
        <x:v>Copa del Rey · eFootball</x:v>
      </x:c>
      <x:c r="F53" s="68" t="str">
        <x:v>oficial</x:v>
      </x:c>
      <x:c r="G53" s="68" t="str">
        <x:v>64</x:v>
      </x:c>
      <x:c r="H53" s="68" t="str">
        <x:v>Por definir</x:v>
      </x:c>
      <x:c r="I53" s="68" t="str">
        <x:v>Por definir</x:v>
      </x:c>
      <x:c r="J53" s="68" t="str">
        <x:v>64 participantes · eliminación directa a partido único → Final</x:v>
      </x:c>
      <x:c r="K53" s="68" t="str">
        <x:v>copa_rey</x:v>
      </x:c>
      <x:c r="L53" s="68" t="str">
        <x:v>4</x:v>
      </x:c>
      <x:c r="M53" s="68" t="str">
        <x:v>2</x:v>
      </x:c>
      <x:c r="N53" s="68" t="str">
        <x:v>1</x:v>
      </x:c>
      <x:c r="O53" s="68" t="str">
        <x:v>assets/cups/official/copa-del-rey.png</x:v>
      </x:c>
      <x:c r="P53" s="68" t="str">
        <x:v>assets/cups/official/copa-del-rey.png</x:v>
      </x:c>
      <x:c r="Q53" s="68" t="str">
        <x:v>Por anunciar</x:v>
      </x:c>
      <x:c r="R53" s="68" t="str">
        <x:v>Por anunciar</x:v>
      </x:c>
      <x:c r="S53" s="68" t="str">
        <x:v>Por anunciar</x:v>
      </x:c>
      <x:c r="T53" s="68" t="str">
        <x:v>PROXIMAMENTE</x:v>
      </x:c>
      <x:c r="U53" s="68" t="str">
        <x:v>CERRADAS</x:v>
      </x:c>
      <x:c r="V53" s="68" t="str"/>
      <x:c r="W53" s="68" t="str"/>
      <x:c r="X53" s="68" t="str"/>
      <x:c r="Y53" s="68" t="str"/>
      <x:c r="Z53" s="68" t="str"/>
      <x:c r="AA53" s="68" t="str">
        <x:v>Sesenta y cuatro participantes en un cuadro de eliminación directa. Todas las rondas se disputan a partido único hasta la final.</x:v>
      </x:c>
      <x:c r="AB53" s="68" t="str">
        <x:v>NO</x:v>
      </x:c>
      <x:c r="AC53" s="68" t="str">
        <x:v>SI</x:v>
      </x:c>
      <x:c r="AD53" s="68" t="str"/>
      <x:c r="AE53" s="68" t="str"/>
      <x:c r="AF53" s="68" t="str"/>
      <x:c r="AG53" s="68" t="str"/>
      <x:c r="AH53" s="68" t="str"/>
    </x:row>
    <x:row r="54">
      <x:c r="A54" s="69" t="str">
        <x:v>ef-dfb-pokal</x:v>
      </x:c>
      <x:c r="B54" s="69" t="str">
        <x:v>ef-official-dfb-pokal</x:v>
      </x:c>
      <x:c r="C54" s="69" t="str">
        <x:v>1</x:v>
      </x:c>
      <x:c r="D54" s="69" t="str">
        <x:v>efootball</x:v>
      </x:c>
      <x:c r="E54" s="69" t="str">
        <x:v>Copa Alemana · DFB-Pokal · eFootball</x:v>
      </x:c>
      <x:c r="F54" s="69" t="str">
        <x:v>oficial</x:v>
      </x:c>
      <x:c r="G54" s="69" t="str">
        <x:v>64</x:v>
      </x:c>
      <x:c r="H54" s="69" t="str">
        <x:v>Por definir</x:v>
      </x:c>
      <x:c r="I54" s="69" t="str">
        <x:v>Por definir</x:v>
      </x:c>
      <x:c r="J54" s="69" t="str">
        <x:v>64 participantes · eliminación directa a partido único → Final</x:v>
      </x:c>
      <x:c r="K54" s="69" t="str">
        <x:v>knockout</x:v>
      </x:c>
      <x:c r="L54" s="69" t="str">
        <x:v>4</x:v>
      </x:c>
      <x:c r="M54" s="69" t="str">
        <x:v>2</x:v>
      </x:c>
      <x:c r="N54" s="69" t="str">
        <x:v>1</x:v>
      </x:c>
      <x:c r="O54" s="69" t="str">
        <x:v>assets/cups/official/dfb-pokal.png</x:v>
      </x:c>
      <x:c r="P54" s="69" t="str">
        <x:v>assets/cups/official/dfb-pokal.png</x:v>
      </x:c>
      <x:c r="Q54" s="69" t="str">
        <x:v>Por anunciar</x:v>
      </x:c>
      <x:c r="R54" s="69" t="str">
        <x:v>Por anunciar</x:v>
      </x:c>
      <x:c r="S54" s="69" t="str">
        <x:v>Por anunciar</x:v>
      </x:c>
      <x:c r="T54" s="69" t="str">
        <x:v>PROXIMAMENTE</x:v>
      </x:c>
      <x:c r="U54" s="69" t="str">
        <x:v>CERRADAS</x:v>
      </x:c>
      <x:c r="V54" s="69" t="str"/>
      <x:c r="W54" s="69" t="str"/>
      <x:c r="X54" s="69" t="str"/>
      <x:c r="Y54" s="69" t="str"/>
      <x:c r="Z54" s="69" t="str"/>
      <x:c r="AA54" s="69" t="str">
        <x:v>Sesenta y cuatro participantes en eliminación directa a partido único desde la primera ronda hasta la final.</x:v>
      </x:c>
      <x:c r="AB54" s="69" t="str">
        <x:v>NO</x:v>
      </x:c>
      <x:c r="AC54" s="69" t="str">
        <x:v>SI</x:v>
      </x:c>
      <x:c r="AD54" s="69" t="str"/>
      <x:c r="AE54" s="69" t="str"/>
      <x:c r="AF54" s="69" t="str"/>
      <x:c r="AG54" s="69" t="str"/>
      <x:c r="AH54" s="69" t="str"/>
    </x:row>
  </x:sheetData>
  <x:dataValidations count="2">
    <x:dataValidation type="list" sqref="T2:T1000">
      <x:formula1>"PROXIMAMENTE,VIGENTE,FINALIZADO"</x:formula1>
    </x:dataValidation>
    <x:dataValidation type="list" sqref="U2:U1000">
      <x:formula1>"ABIERTAS,CERRADAS"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59" t="str">
        <x:v>codigo</x:v>
      </x:c>
      <x:c r="B1" s="59" t="str">
        <x:v>torneo_id</x:v>
      </x:c>
      <x:c r="C1" s="59" t="str">
        <x:v>juego</x:v>
      </x:c>
      <x:c r="D1" s="59" t="str">
        <x:v>estado</x:v>
      </x:c>
      <x:c r="E1" s="59" t="str">
        <x:v>usos_max</x:v>
      </x:c>
      <x:c r="F1" s="59" t="str">
        <x:v>usos</x:v>
      </x:c>
      <x:c r="G1" s="59" t="str">
        <x:v>fecha_creacion</x:v>
      </x:c>
      <x:c r="H1" s="59" t="str">
        <x:v>fecha_uso</x:v>
      </x:c>
      <x:c r="I1" s="59" t="str">
        <x:v>participante</x:v>
      </x:c>
    </x:row>
  </x:sheetData>
  <x:dataValidations count="1">
    <x:dataValidation type="list" sqref="D2:D5000">
      <x:formula1>"ACTIVO,USADO,ANULADO"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59" t="str">
        <x:v>fecha_registro</x:v>
      </x:c>
      <x:c r="B1" s="59" t="str">
        <x:v>torneo_id</x:v>
      </x:c>
      <x:c r="C1" s="59" t="str">
        <x:v>juego</x:v>
      </x:c>
      <x:c r="D1" s="59" t="str">
        <x:v>nombre</x:v>
      </x:c>
      <x:c r="E1" s="59" t="str">
        <x:v>nick</x:v>
      </x:c>
      <x:c r="F1" s="59" t="str">
        <x:v>contacto</x:v>
      </x:c>
      <x:c r="G1" s="59" t="str">
        <x:v>ubicacion</x:v>
      </x:c>
      <x:c r="H1" s="59" t="str">
        <x:v>tiktok</x:v>
      </x:c>
      <x:c r="I1" s="59" t="str">
        <x:v>codigo</x:v>
      </x:c>
      <x:c r="J1" s="59" t="str">
        <x:v>foto_url</x:v>
      </x:c>
      <x:c r="K1" s="59" t="str">
        <x:v>estado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59" t="str">
        <x:v>torneo_id</x:v>
      </x:c>
      <x:c r="B1" s="59" t="str">
        <x:v>juego</x:v>
      </x:c>
      <x:c r="C1" s="59" t="str">
        <x:v>partido_id</x:v>
      </x:c>
      <x:c r="D1" s="59" t="str">
        <x:v>fase</x:v>
      </x:c>
      <x:c r="E1" s="59" t="str">
        <x:v>grupo</x:v>
      </x:c>
      <x:c r="F1" s="59" t="str">
        <x:v>jornada</x:v>
      </x:c>
      <x:c r="G1" s="59" t="str">
        <x:v>jugador_1</x:v>
      </x:c>
      <x:c r="H1" s="59" t="str">
        <x:v>jugador_2</x:v>
      </x:c>
      <x:c r="I1" s="59" t="str">
        <x:v>goles_1</x:v>
      </x:c>
      <x:c r="J1" s="59" t="str">
        <x:v>goles_2</x:v>
      </x:c>
      <x:c r="K1" s="59" t="str">
        <x:v>penales_1</x:v>
      </x:c>
      <x:c r="L1" s="59" t="str">
        <x:v>penales_2</x:v>
      </x:c>
      <x:c r="M1" s="59" t="str">
        <x:v>ganador</x:v>
      </x:c>
      <x:c r="N1" s="59" t="str">
        <x:v>estado</x:v>
      </x:c>
      <x:c r="O1" s="59" t="str">
        <x:v>actualizado</x:v>
      </x:c>
    </x:row>
  </x:sheetData>
  <x:dataValidations count="1">
    <x:dataValidation type="list" sqref="N2:N10000">
      <x:formula1>"PENDIENTE,FINALIZADO"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59" t="str">
        <x:v>competition_id</x:v>
      </x:c>
      <x:c r="B1" s="59" t="str">
        <x:v>torneo_id</x:v>
      </x:c>
      <x:c r="C1" s="59" t="str">
        <x:v>edicion</x:v>
      </x:c>
      <x:c r="D1" s="59" t="str">
        <x:v>juego</x:v>
      </x:c>
      <x:c r="E1" s="59" t="str">
        <x:v>competicion</x:v>
      </x:c>
      <x:c r="F1" s="59" t="str">
        <x:v>primer_lugar</x:v>
      </x:c>
      <x:c r="G1" s="59" t="str">
        <x:v>foto_primer_lugar</x:v>
      </x:c>
      <x:c r="H1" s="59" t="str">
        <x:v>premio_1</x:v>
      </x:c>
      <x:c r="I1" s="59" t="str">
        <x:v>segundo_lugar</x:v>
      </x:c>
      <x:c r="J1" s="59" t="str">
        <x:v>premio_2</x:v>
      </x:c>
      <x:c r="K1" s="59" t="str">
        <x:v>instagram_url</x:v>
      </x:c>
      <x:c r="L1" s="59" t="str">
        <x:v>fecha_finalizacion</x:v>
      </x:c>
      <x:c r="M1" s="59" t="str">
        <x:v>es_actual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59" t="str">
        <x:v>torneo_id</x:v>
      </x:c>
      <x:c r="B1" s="59" t="str">
        <x:v>juego</x:v>
      </x:c>
      <x:c r="C1" s="59" t="str">
        <x:v>tipo</x:v>
      </x:c>
      <x:c r="D1" s="59" t="str">
        <x:v>titulo</x:v>
      </x:c>
      <x:c r="E1" s="59" t="str">
        <x:v>url</x:v>
      </x:c>
      <x:c r="F1" s="59" t="str">
        <x:v>orden</x:v>
      </x:c>
      <x:c r="G1" s="59" t="str">
        <x:v>activo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8" hidden="0" customWidth="1"/>
    <x:col min="3" max="3" width="58" hidden="0" customWidth="1"/>
  </x:cols>
  <x:sheetData>
    <x:row r="1">
      <x:c r="A1" s="76" t="str">
        <x:v>CLAVE</x:v>
      </x:c>
      <x:c r="B1" s="76" t="str">
        <x:v>VALOR</x:v>
      </x:c>
      <x:c r="C1" s="76" t="str">
        <x:v>DESCRIPCION</x:v>
      </x:c>
    </x:row>
    <x:row r="2">
      <x:c r="A2" s="53" t="str">
        <x:v>SISTEMA</x:v>
      </x:c>
      <x:c r="B2" s="53" t="str">
        <x:v>GMAC</x:v>
      </x:c>
      <x:c r="C2" s="53" t="str">
        <x:v>Nombre de la plataforma</x:v>
      </x:c>
    </x:row>
    <x:row r="3">
      <x:c r="A3" s="53" t="str">
        <x:v>UN_SOLO_TORNEO_VIGENTE</x:v>
      </x:c>
      <x:c r="B3" s="53" t="str">
        <x:v>SI</x:v>
      </x:c>
      <x:c r="C3" s="53" t="str">
        <x:v>Solo un torneo puede estar VIGENTE</x:v>
      </x:c>
    </x:row>
    <x:row r="4">
      <x:c r="A4" s="53" t="str">
        <x:v>REGLA_PARTIDOS</x:v>
      </x:c>
      <x:c r="B4" s="53" t="str">
        <x:v>SOLO_IDA</x:v>
      </x:c>
      <x:c r="C4" s="53" t="str">
        <x:v>Toda competición se juega una sola vez contra cada rival</x:v>
      </x:c>
    </x:row>
    <x:row r="5">
      <x:c r="A5" s="53" t="str">
        <x:v>CODIGO_USOS_MAX</x:v>
      </x:c>
      <x:c r="B5" s="53" t="str">
        <x:v>1</x:v>
      </x:c>
      <x:c r="C5" s="53" t="str">
        <x:v>Cada código de inscripción se usa una sola vez</x:v>
      </x:c>
    </x:row>
    <x:row r="6">
      <x:c r="A6" s="53" t="str">
        <x:v>GENERAR_CODIGOS_AL_CREAR_TORNEO</x:v>
      </x:c>
      <x:c r="B6" s="53" t="str">
        <x:v>SI</x:v>
      </x:c>
      <x:c r="C6" s="53" t="str">
        <x:v>Un código por cupo</x:v>
      </x:c>
    </x:row>
    <x:row r="7">
      <x:c r="A7" s="53" t="str">
        <x:v>FINALIZAR_CON_FINAL</x:v>
      </x:c>
      <x:c r="B7" s="53" t="str">
        <x:v>SI</x:v>
      </x:c>
      <x:c r="C7" s="53" t="str">
        <x:v>La final archiva la edición automáticamente</x:v>
      </x:c>
    </x:row>
    <x:row r="8">
      <x:c r="A8" s="53" t="str">
        <x:v>MOSTRAR_FIXTURE_FINALIZADO</x:v>
      </x:c>
      <x:c r="B8" s="53" t="str">
        <x:v>NO</x:v>
      </x:c>
      <x:c r="C8" s="53" t="str">
        <x:v>Solo la edición vigente muestra el estado competitivo</x:v>
      </x:c>
    </x:row>
    <x:row r="9">
      <x:c r="A9" s="53" t="str">
        <x:v>MONEDA</x:v>
      </x:c>
      <x:c r="B9" s="53" t="str">
        <x:v>PEN</x:v>
      </x:c>
      <x:c r="C9" s="53" t="str">
        <x:v>Moneda por defecto</x:v>
      </x:c>
    </x:row>
    <x:row r="10">
      <x:c r="A10" s="53" t="str">
        <x:v>ZONA_HORARIA</x:v>
      </x:c>
      <x:c r="B10" s="53" t="str">
        <x:v>America/Lima</x:v>
      </x:c>
      <x:c r="C10" s="53" t="str">
        <x:v>Zona horaria GMAC</x:v>
      </x:c>
    </x:row>
    <x:row r="11">
      <x:c r="A11" s="53" t="str">
        <x:v>COPAS_ROOT_FOLDER_ID</x:v>
      </x:c>
      <x:c r="B11" s="53" t="str">
        <x:v>1hZAdbnpiClB9LF2bYARk8Dy58uTHWSJl</x:v>
      </x:c>
      <x:c r="C11" s="53" t="str">
        <x:v>Carpeta raíz</x:v>
      </x:c>
    </x:row>
    <x:row r="12">
      <x:c r="A12" s="53" t="str">
        <x:v>COPAS_COMPARTIDAS_FOLDER_ID</x:v>
      </x:c>
      <x:c r="B12" s="53" t="str">
        <x:v>1riwk6_IVCJOmY5dJ_cV4j5kFmetQd4v9</x:v>
      </x:c>
      <x:c r="C12" s="53" t="str">
        <x:v>Copas compartidas</x:v>
      </x:c>
    </x:row>
    <x:row r="13">
      <x:c r="A13" s="53" t="str">
        <x:v>COPAS_FCM_PORTADAS_FOLDER_ID</x:v>
      </x:c>
      <x:c r="B13" s="53" t="str">
        <x:v>1LqQsgJMdpSGAeOy6pw32ukmIeBkUmtbX</x:v>
      </x:c>
      <x:c r="C13" s="53" t="str">
        <x:v>FC Mobile / Portadas</x:v>
      </x:c>
    </x:row>
    <x:row r="14">
      <x:c r="A14" s="53" t="str">
        <x:v>COPAS_FCM_FIXTURE_FOLDER_ID</x:v>
      </x:c>
      <x:c r="B14" s="53" t="str">
        <x:v>1cdH-AVsZQ68laqJ2OqGmU_rc1dMhVV6f</x:v>
      </x:c>
      <x:c r="C14" s="53" t="str">
        <x:v>FC Mobile / Fixture</x:v>
      </x:c>
    </x:row>
    <x:row r="15">
      <x:c r="A15" s="53" t="str">
        <x:v>COPAS_EF_PORTADAS_FOLDER_ID</x:v>
      </x:c>
      <x:c r="B15" s="53" t="str">
        <x:v>123xu7eod32Bdwz0M68IlcobiqmmpLfKO</x:v>
      </x:c>
      <x:c r="C15" s="53" t="str">
        <x:v>eFootball / Portadas</x:v>
      </x:c>
    </x:row>
    <x:row r="16">
      <x:c r="A16" s="53" t="str">
        <x:v>COPAS_EF_FIXTURE_FOLDER_ID</x:v>
      </x:c>
      <x:c r="B16" s="53" t="str">
        <x:v>1cqu-Fm16LegEYOLebEDjsj6GIEBIAvK_</x:v>
      </x:c>
      <x:c r="C16" s="53" t="str">
        <x:v>eFootball / Fixture</x:v>
      </x:c>
    </x:row>
    <x:row r="17">
      <x:c r="A17" s="53" t="str">
        <x:v>COPAS_PUBLICAS</x:v>
      </x:c>
      <x:c r="B17" s="53" t="str">
        <x:v>SI</x:v>
      </x:c>
      <x:c r="C17" s="53" t="str">
        <x:v>Apps Script intenta compartir cada archivo con enlace</x:v>
      </x:c>
    </x:row>
    <x:row r="18">
      <x:c r="A18" s="79" t="str">
        <x:v>COPAS_FORMATO</x:v>
      </x:c>
      <x:c r="B18" s="79" t="str">
        <x:v>AVIF</x:v>
      </x:c>
      <x:c r="C18" s="79" t="str">
        <x:v>Formato estándar de trofeos</x:v>
      </x:c>
    </x:row>
  </x:sheetData>
  <x:pageMargins left="0.7" right="0.7" top="0.75" bottom="0.75" header="0.3" footer="0.3"/>
</x:worksheet>
</file>